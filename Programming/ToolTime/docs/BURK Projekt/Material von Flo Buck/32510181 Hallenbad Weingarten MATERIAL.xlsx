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tC6m9wQXDntLs0ao5HUWcB0kHYCaXbWOzddx7TmxT9I="/>
    </ext>
  </extLst>
</workbook>
</file>

<file path=xl/sharedStrings.xml><?xml version="1.0" encoding="utf-8"?>
<sst xmlns="http://schemas.openxmlformats.org/spreadsheetml/2006/main" count="1116" uniqueCount="753">
  <si>
    <t xml:space="preserve">32510181 Stadtwerke Weingarten Geamtsanierung Hallenbad </t>
  </si>
  <si>
    <t>Projektleiter: Matthias Ruf</t>
  </si>
  <si>
    <t>Kaufmann/Frau:</t>
  </si>
  <si>
    <t>Rebecca Rumpenhorst</t>
  </si>
  <si>
    <t>Pos.Nr.</t>
  </si>
  <si>
    <t xml:space="preserve">Bezeichnung </t>
  </si>
  <si>
    <t>Menge</t>
  </si>
  <si>
    <t>Einheit</t>
  </si>
  <si>
    <t>VK Preist Stück</t>
  </si>
  <si>
    <t>bestellt/geliefert</t>
  </si>
  <si>
    <t>Abruf lange LZ</t>
  </si>
  <si>
    <t>VK Gesamt</t>
  </si>
  <si>
    <t>Info</t>
  </si>
  <si>
    <t>Aufmaß 
06.07.2026</t>
  </si>
  <si>
    <t>Ergebnis</t>
  </si>
  <si>
    <t>Datum / Unterschrift Auftraggeber:</t>
  </si>
  <si>
    <t>Datum / Unterschrift Projektleiter:</t>
  </si>
  <si>
    <t>Nachträge und Positionserweiterung in ROT erfassen</t>
  </si>
  <si>
    <t>Abflussleitungen und Isolierung</t>
  </si>
  <si>
    <t>Allgemeines</t>
  </si>
  <si>
    <t>Schmutzwasser (Polo Kal NG)</t>
  </si>
  <si>
    <t>1.  .001</t>
  </si>
  <si>
    <t>Schmutzwasserleitung DN 125 hochschalldämmend</t>
  </si>
  <si>
    <t>m</t>
  </si>
  <si>
    <t>1.  .002</t>
  </si>
  <si>
    <t>wie Pos. [01.1] , jedoch Kunststoffrohr DN 100</t>
  </si>
  <si>
    <t>1.  .003</t>
  </si>
  <si>
    <t>wie Pos. [01.1] , jedoch Kunststoffrohr DN 70</t>
  </si>
  <si>
    <t>1.  .004</t>
  </si>
  <si>
    <t>wie Pos. [01.1] , jedoch Kunststoffrohr DN 50</t>
  </si>
  <si>
    <t>1.  .005</t>
  </si>
  <si>
    <t>wie Pos. [01.1] , jedoch Bogen DN 50, 15° - 87°</t>
  </si>
  <si>
    <t>Stk</t>
  </si>
  <si>
    <t>1.  .006</t>
  </si>
  <si>
    <t>wie Pos. [01.1] , jedoch Bogen DN 70, 15° - 87°</t>
  </si>
  <si>
    <t>1.  .007</t>
  </si>
  <si>
    <t>wie Pos. [01.1] , jedoch Bogen DN 100, 15° - 87°</t>
  </si>
  <si>
    <t>(mitgemessen 2x Enddeckel100/ 4x Steckmuffe 100/4xSchweißmuffe)</t>
  </si>
  <si>
    <t>1.  .008</t>
  </si>
  <si>
    <t>wie Pos. [01.1] , jedoch Bogen DN 125, 15° - 87°</t>
  </si>
  <si>
    <t>1.  .009</t>
  </si>
  <si>
    <t>wie Pos. [01.1] , jedoch Abzweig DN 50</t>
  </si>
  <si>
    <t>1.  .010</t>
  </si>
  <si>
    <t>wie Pos. [01.1] , jedoch Abzweig DN 70</t>
  </si>
  <si>
    <t>1.  .011</t>
  </si>
  <si>
    <t>wie Pos. [01.1] , jedoch Abzweig DN 100</t>
  </si>
  <si>
    <t>1.  .012</t>
  </si>
  <si>
    <t>wie Pos. [01.1] , jedoch Abzweig DN 125</t>
  </si>
  <si>
    <t>1.  .013</t>
  </si>
  <si>
    <t>wie Pos. [01.1] , jedoch Reduzierung DN 70 / 50</t>
  </si>
  <si>
    <t>1.  .014</t>
  </si>
  <si>
    <t>wie Pos. [01.1] , jedoch Reduzierung DN 100 / 70-50</t>
  </si>
  <si>
    <t>1.  .015</t>
  </si>
  <si>
    <t>wie Pos. [01.1] , jedoch Reinigungsrohr DN 100</t>
  </si>
  <si>
    <t>1.  .016</t>
  </si>
  <si>
    <t>wie Pos. [01.1] , jedoch Reinigungsrohr DN 125</t>
  </si>
  <si>
    <t>1.  .017</t>
  </si>
  <si>
    <t>wie Pos. [01.1] , jedoch Sifonbogen DN 50, 15° - 87°</t>
  </si>
  <si>
    <t>1.  .018</t>
  </si>
  <si>
    <t>Brandschutzmanschette DN 100</t>
  </si>
  <si>
    <t>1.  .019</t>
  </si>
  <si>
    <t>wie Pos. [01.18] , jedoch DN 70</t>
  </si>
  <si>
    <t>1.  .020</t>
  </si>
  <si>
    <t>wie Pos. [01.18] , jedoch DN 50</t>
  </si>
  <si>
    <t>1.  .021</t>
  </si>
  <si>
    <t>Anschlüsse DN 125 an Grundleitung PVC</t>
  </si>
  <si>
    <t>1.  .022</t>
  </si>
  <si>
    <t>wie Pos. [01.21] jedoch Anschlüsse DN 100</t>
  </si>
  <si>
    <t>Druckleitung für Hebeanlage (Aduxa RC)</t>
  </si>
  <si>
    <t>1.  .023</t>
  </si>
  <si>
    <t>Druckrohr schwarz 50x4,6mm</t>
  </si>
  <si>
    <t>1.  .024</t>
  </si>
  <si>
    <t>HD-PE-Bogen da:50mm; 15-90°</t>
  </si>
  <si>
    <t>1.  .025</t>
  </si>
  <si>
    <t>HD-PE-T-Stück da:50mm; 15-90°</t>
  </si>
  <si>
    <t>1.  .026</t>
  </si>
  <si>
    <t>HD-PE-T-Muffe da:50mm; 15-90°</t>
  </si>
  <si>
    <t>1.  .027</t>
  </si>
  <si>
    <t>HD-PE-Übergangsmuffe auf Messing</t>
  </si>
  <si>
    <t>1.  .028</t>
  </si>
  <si>
    <t>Dachhauben DN100 für Schmutzwasser Entlüftung,</t>
  </si>
  <si>
    <t>1.  .029</t>
  </si>
  <si>
    <t>Anschluss Schmutzwasserleitung an Dachhaube DN 100,</t>
  </si>
  <si>
    <t>Dämmung SW-Leitung</t>
  </si>
  <si>
    <t>1.  .030</t>
  </si>
  <si>
    <t>Isolation von Rohrleitungen DN 125</t>
  </si>
  <si>
    <t>1.  .031</t>
  </si>
  <si>
    <t>Rohr DN 100</t>
  </si>
  <si>
    <t>1.  .032</t>
  </si>
  <si>
    <t>Rohr DN 70</t>
  </si>
  <si>
    <t>1.  .033</t>
  </si>
  <si>
    <t>Abflussrohr DN 100, dampfdicht mit 5 mm starkem</t>
  </si>
  <si>
    <t>1.  .034</t>
  </si>
  <si>
    <t>Abflussrohr DN 70</t>
  </si>
  <si>
    <t>1.  .035</t>
  </si>
  <si>
    <t>Abflussrohr DN 50</t>
  </si>
  <si>
    <t>Grauwasser Hebeanlage</t>
  </si>
  <si>
    <t>1.  .036</t>
  </si>
  <si>
    <t>Schmutzwassersammelbehälter</t>
  </si>
  <si>
    <t>1.  .037</t>
  </si>
  <si>
    <t>Vertikale 1-stufige Schmutzwasserpumpe</t>
  </si>
  <si>
    <t>1.  .038</t>
  </si>
  <si>
    <t>Niveausteuerung Grauwasserhebeanlage</t>
  </si>
  <si>
    <t>Schmutzwasser Hebeanlage</t>
  </si>
  <si>
    <t>1.  .039</t>
  </si>
  <si>
    <t>Schmutzwassersammelbehälter 270ltr.</t>
  </si>
  <si>
    <t>1.  .040</t>
  </si>
  <si>
    <t>1.  .041</t>
  </si>
  <si>
    <t>Rohrbefestigung</t>
  </si>
  <si>
    <t>1.  .042</t>
  </si>
  <si>
    <t>Rohrschelle NW DN 125</t>
  </si>
  <si>
    <t>1.  .043</t>
  </si>
  <si>
    <t>Rohrschelle DN 100</t>
  </si>
  <si>
    <t>1.  .044</t>
  </si>
  <si>
    <t>Rohrschelle DN 70</t>
  </si>
  <si>
    <t>1.  .045</t>
  </si>
  <si>
    <t>Rohrschelle DN 50</t>
  </si>
  <si>
    <t>1.  .046</t>
  </si>
  <si>
    <t>Aufhänge- und Stützkonstruktion aus verzinktem Stahl, mit</t>
  </si>
  <si>
    <t>kg</t>
  </si>
  <si>
    <t>Wasserleitungen und Armaturen</t>
  </si>
  <si>
    <t>Die Lieferung und Montage umfasst die komplette Erstellung</t>
  </si>
  <si>
    <t>2.  .001</t>
  </si>
  <si>
    <t>Freistrom-Absperrventil, DN 15 mit Entleerung, AG</t>
  </si>
  <si>
    <t>2.  .002</t>
  </si>
  <si>
    <t>Freistrom-Absperrventil DN 20</t>
  </si>
  <si>
    <t>2.  .003</t>
  </si>
  <si>
    <t>Freistrom-Absperrventil DN 25</t>
  </si>
  <si>
    <t>2.  .004</t>
  </si>
  <si>
    <t>Freistrom-Absperrventil DN 32</t>
  </si>
  <si>
    <t>2.  .005</t>
  </si>
  <si>
    <t>Freistrom-Absperrventil DN 40</t>
  </si>
  <si>
    <t>2.  .006</t>
  </si>
  <si>
    <t>Freistrom-Absperrventil DN 50</t>
  </si>
  <si>
    <t>2.  .007</t>
  </si>
  <si>
    <t>Freistrom-Absperrventil DN 80</t>
  </si>
  <si>
    <t>2.  .008</t>
  </si>
  <si>
    <t>Freimstrom-Absperrventil DN 65</t>
  </si>
  <si>
    <t>2.  .009</t>
  </si>
  <si>
    <t>Freistrom-Rückflussverhinderer DN 80/16</t>
  </si>
  <si>
    <t>2.  .010</t>
  </si>
  <si>
    <t>Druckminderer DN 80/25</t>
  </si>
  <si>
    <t>2.  .011</t>
  </si>
  <si>
    <t>Entleer-Kugelhahn DN 15</t>
  </si>
  <si>
    <t>2.  .012</t>
  </si>
  <si>
    <t>Wasseranschlüsse an Verbraucher aus anderen</t>
  </si>
  <si>
    <t>2.  .013</t>
  </si>
  <si>
    <t>Zirkulationspumpe Trinkwasser</t>
  </si>
  <si>
    <t>2.  .014</t>
  </si>
  <si>
    <t>Zirkulations-Regulierventil, DN 15</t>
  </si>
  <si>
    <t>1x Strangregulierventil Multi Fix Plus DN15</t>
  </si>
  <si>
    <t>2.  .015</t>
  </si>
  <si>
    <t>Schutzfilter DN 65</t>
  </si>
  <si>
    <t>x</t>
  </si>
  <si>
    <t>AB Schuster #15318113</t>
  </si>
  <si>
    <t>Wasserzähler</t>
  </si>
  <si>
    <t>Beschreibung Allgemein</t>
  </si>
  <si>
    <t>2.  .016</t>
  </si>
  <si>
    <t>Ultraschall-Wasserzähler KW, Q3 6,30 m³/h, DN 25</t>
  </si>
  <si>
    <t>2.  .017</t>
  </si>
  <si>
    <t>Wasserzähler KW, Q3 16m³/h, DN 40</t>
  </si>
  <si>
    <t>2.  .018</t>
  </si>
  <si>
    <t>Medien-Trassenbezeichnung als Klebefolie bedruckt</t>
  </si>
  <si>
    <t>2.  .019</t>
  </si>
  <si>
    <t>Bezeichnungsschilder aus Kunststoff</t>
  </si>
  <si>
    <t>Kalt- und Warmwasserleitung (Mapress Edelstahl)</t>
  </si>
  <si>
    <t>2. .0191</t>
  </si>
  <si>
    <t>Edelstahl-System-Rohr 15x 1,0 mm (DN 12)</t>
  </si>
  <si>
    <t xml:space="preserve">(6,50€ + Index + 7GM) / Ist in der Aufmaßzählliste als 18er erfasst </t>
  </si>
  <si>
    <t>2.  .020</t>
  </si>
  <si>
    <t>Edelstahl-System-Rohr 18 x 1,0 mm (DN 15)</t>
  </si>
  <si>
    <t>2.  .021</t>
  </si>
  <si>
    <t>Edelstahl-System-Rohr 22 x 1,2 mm (DN 20)</t>
  </si>
  <si>
    <t>2.  .022</t>
  </si>
  <si>
    <t>Edelstahl-System-Rohr 28 x 1,2 mm (DN 25)</t>
  </si>
  <si>
    <t>2.  .023</t>
  </si>
  <si>
    <t>Edelstahl-System-Rohr 35 x 1,5 mm (DN 32)</t>
  </si>
  <si>
    <t>2.  .024</t>
  </si>
  <si>
    <t>Edelstahl-System-Rohr 42 x 1,5 mm (DN 40)</t>
  </si>
  <si>
    <t>2. .0241</t>
  </si>
  <si>
    <t>Edelstahl-System-Rohr 54x 1,5 mm (DN 50)</t>
  </si>
  <si>
    <t xml:space="preserve">(29,90€ + Index + 14GM) </t>
  </si>
  <si>
    <t>2.  .025</t>
  </si>
  <si>
    <t>Edelstahl-System-Rohr 76,1 x 2,0 mm (DN 65)</t>
  </si>
  <si>
    <t>2.  .026</t>
  </si>
  <si>
    <t>Edelstahl-System-Rohr 89 x 2,0 mm (DN 80)</t>
  </si>
  <si>
    <t>2.  .027</t>
  </si>
  <si>
    <t>Edelstahl-System-Rohr 108 x 2,0 mm (DN 100)</t>
  </si>
  <si>
    <t>Formstücke</t>
  </si>
  <si>
    <t>2.  .0271</t>
  </si>
  <si>
    <t>Edelstahl Bogen 45-90°, 15x1,0 mm</t>
  </si>
  <si>
    <t>Stck</t>
  </si>
  <si>
    <t>(6,80€ + Index + 4GM) Ist in der Aufmaßzählliste als 18er erfasst</t>
  </si>
  <si>
    <t>2.  .028</t>
  </si>
  <si>
    <t>Edelstahl Bogen 45-90°, 18 x 1,0 mm</t>
  </si>
  <si>
    <t>2.  .029</t>
  </si>
  <si>
    <t>Edelstahl Bogen 45-90°, 22 x 1,2 mm</t>
  </si>
  <si>
    <t>2.  .030</t>
  </si>
  <si>
    <t>Edelstahl Bogen 45-90°, 28 x 1,2 mm</t>
  </si>
  <si>
    <t>2.  .031</t>
  </si>
  <si>
    <t>Edelstahl Bogen 45-90°, 35 x 1,5 mm</t>
  </si>
  <si>
    <t>2.  .032</t>
  </si>
  <si>
    <t>Edelstahl Bogen 45-90°, 42 x 1,5 mm</t>
  </si>
  <si>
    <t>2.  .033</t>
  </si>
  <si>
    <t>Edelstahl Bogen 45-90°, 76,1 x 2,0 mm</t>
  </si>
  <si>
    <t>2.  .034</t>
  </si>
  <si>
    <t>Edelstahl Bogen 45-90°, 88,9 x 2,0 mm</t>
  </si>
  <si>
    <t>2.  .035</t>
  </si>
  <si>
    <t>Edelstahl Bogen 45-90°, 108 x 2,0 mm</t>
  </si>
  <si>
    <t>2.  .036</t>
  </si>
  <si>
    <t>T-Stück 18 x 1,0 mm</t>
  </si>
  <si>
    <t>2.  .037</t>
  </si>
  <si>
    <t>T-Stück 22 x 1,2 mm</t>
  </si>
  <si>
    <t>2.  .038</t>
  </si>
  <si>
    <t>T-Stück 28 x 1,2 mm</t>
  </si>
  <si>
    <t>2.  .039</t>
  </si>
  <si>
    <t>T-Stück 35 x 1,5 mm</t>
  </si>
  <si>
    <t>2.  .040</t>
  </si>
  <si>
    <t>T-Stück 42 x 1,5 mm</t>
  </si>
  <si>
    <t>2.  .041</t>
  </si>
  <si>
    <t>T-Stück 76,1 x 2,0 mm</t>
  </si>
  <si>
    <t>2.  .042</t>
  </si>
  <si>
    <t>T-Stück 88,9 x 2,0 mm</t>
  </si>
  <si>
    <t>2. .0421</t>
  </si>
  <si>
    <t>Muffe 15 x 1,0 mm</t>
  </si>
  <si>
    <t>(4,80€ + Index + 4GM) Ist in der Aufmaßzählliste als 18er erfasst</t>
  </si>
  <si>
    <t>2.  .043</t>
  </si>
  <si>
    <t>Muffe 18 x 1,0 mm</t>
  </si>
  <si>
    <t>2.  .044</t>
  </si>
  <si>
    <t>Muffe 22 x 1,2 mm</t>
  </si>
  <si>
    <t>2.  .045</t>
  </si>
  <si>
    <t>Muffe 28 x 1,2 mm</t>
  </si>
  <si>
    <t>2.  .046</t>
  </si>
  <si>
    <t>Muffe 35 x 1,5 mm</t>
  </si>
  <si>
    <t>2.  .047</t>
  </si>
  <si>
    <t>Muffe 42 x 1,5 mm</t>
  </si>
  <si>
    <t>2.  .048</t>
  </si>
  <si>
    <t>Muffe 76,1 x 2,0 mm</t>
  </si>
  <si>
    <t>2.  .049</t>
  </si>
  <si>
    <t>Muffe 88,9 x 2,0 mm</t>
  </si>
  <si>
    <t>2.  .050</t>
  </si>
  <si>
    <t>Reduzier-Stück 18 x 1,0 mm</t>
  </si>
  <si>
    <t>2.  .051</t>
  </si>
  <si>
    <t>Reduzier-Stück 22 x 1,2 mm</t>
  </si>
  <si>
    <t>2.  .052</t>
  </si>
  <si>
    <t>Reduzier-Stück 28 x 1,2 mm</t>
  </si>
  <si>
    <t>2.  .053</t>
  </si>
  <si>
    <t>Reduzier-Stück 35 x 1,5 mm</t>
  </si>
  <si>
    <t>2.  .054</t>
  </si>
  <si>
    <t>Reduzier-Stück 42 x 1,5 mm</t>
  </si>
  <si>
    <t>2.  .055</t>
  </si>
  <si>
    <t>Reduzier-Stück 76,1 x 2,0 mm</t>
  </si>
  <si>
    <t>2.  .056</t>
  </si>
  <si>
    <t>Reduzier-Stück 88,9 x 2,0 mm</t>
  </si>
  <si>
    <t>2.  .0561</t>
  </si>
  <si>
    <t>Übergangsstück mit AG oder IG 15 x 1,0 mm</t>
  </si>
  <si>
    <t>(9,20€ + Index + 5GM)</t>
  </si>
  <si>
    <t>2.  .057</t>
  </si>
  <si>
    <t>Übergangsstück mit AG oder IG 18 x 1,0 mm</t>
  </si>
  <si>
    <t>2.  .058</t>
  </si>
  <si>
    <t>Übergangsstück mit AG/IG 22 x 1,2 mm</t>
  </si>
  <si>
    <t>2.  .059</t>
  </si>
  <si>
    <t>Übergangsstück mit AG/IG 28 x 1,2 mm</t>
  </si>
  <si>
    <t>2.  .060</t>
  </si>
  <si>
    <t>Übergangsstück mit AG/IG 35 x 1,5 mm</t>
  </si>
  <si>
    <t>2.  .061</t>
  </si>
  <si>
    <t>Übergangsstück mit AG/IG 42 x 1,5 mm</t>
  </si>
  <si>
    <t>2.  .062</t>
  </si>
  <si>
    <t>Übergangsstück mit AG/IG 76,1 x 2,0 mm</t>
  </si>
  <si>
    <t>2.  .063</t>
  </si>
  <si>
    <t>Übergangsstück mit AG/IG 88,9 x 2,0 mm</t>
  </si>
  <si>
    <t>2.  .0631</t>
  </si>
  <si>
    <t>Deckenwinkel 15 x 1/2" IG</t>
  </si>
  <si>
    <t>(15,30€ + Index + 7GM)</t>
  </si>
  <si>
    <t>2.  .064</t>
  </si>
  <si>
    <t>Flansch DN80/PN10 mit Pressmuffe</t>
  </si>
  <si>
    <t>Anschlussleitungen ( Uponor Unipipe)</t>
  </si>
  <si>
    <t>2.  .065</t>
  </si>
  <si>
    <t>Metallverbundrohr 16 x 2,25 mm (DN 12)</t>
  </si>
  <si>
    <t>2.  .066</t>
  </si>
  <si>
    <t>System-Rohr 20 x 2,5 mm (DN15)</t>
  </si>
  <si>
    <t>2.  .067</t>
  </si>
  <si>
    <t>System-Rohr 26 x 3,0 mm (DN20)</t>
  </si>
  <si>
    <t>2.  .068</t>
  </si>
  <si>
    <t>Bogen 45-90°, 16 x 2,25 mm</t>
  </si>
  <si>
    <t>2.  .069</t>
  </si>
  <si>
    <t>Bogen 45-90°, 20 x 2,5 mm</t>
  </si>
  <si>
    <t>2.  .070</t>
  </si>
  <si>
    <t>Bogen 45-90°, 26 x 3,0 mm</t>
  </si>
  <si>
    <t>2.  .071</t>
  </si>
  <si>
    <t>T-Stück 16 x 2,25 mm</t>
  </si>
  <si>
    <t>2.  .072</t>
  </si>
  <si>
    <t>T-Stück 20 x 2,5 mm</t>
  </si>
  <si>
    <t>2.  .073</t>
  </si>
  <si>
    <t>T-Stück 26 x 3,0 mm</t>
  </si>
  <si>
    <t>2.  .074</t>
  </si>
  <si>
    <t>Reduzierung 16 x 2,25 mm</t>
  </si>
  <si>
    <t>2.  .075</t>
  </si>
  <si>
    <t>Reduzierung 20 x 2,5 mm</t>
  </si>
  <si>
    <t>2.  .076</t>
  </si>
  <si>
    <t>Reduzierung 26 x 3,0 mm</t>
  </si>
  <si>
    <t>2.  .077</t>
  </si>
  <si>
    <t>Übergangsstück 16 x 2,25 mm</t>
  </si>
  <si>
    <t>2.  .078</t>
  </si>
  <si>
    <t>Übergangsstück 20 x 2,5 mm</t>
  </si>
  <si>
    <t>2.  .079</t>
  </si>
  <si>
    <t>Übergangsstück 26 x 3,0 mm</t>
  </si>
  <si>
    <t>2.  .080</t>
  </si>
  <si>
    <t>Überwandscheibe 16 x 2,25 mm</t>
  </si>
  <si>
    <t>2.  .081</t>
  </si>
  <si>
    <t>Doppelwandscheibe 20 x 2,5 mm</t>
  </si>
  <si>
    <t>2.  .082</t>
  </si>
  <si>
    <t>Sanitärverteiler DN 65</t>
  </si>
  <si>
    <t>2.  .083</t>
  </si>
  <si>
    <t>Rohrschelle NW DN 80</t>
  </si>
  <si>
    <t>2.  .084</t>
  </si>
  <si>
    <t>Rohrschelle DN 65</t>
  </si>
  <si>
    <t>2.  .085</t>
  </si>
  <si>
    <t>Rohrschelle DN 40</t>
  </si>
  <si>
    <t>2.  .086</t>
  </si>
  <si>
    <t>Rohrschelle DN 32</t>
  </si>
  <si>
    <t>2.  .087</t>
  </si>
  <si>
    <t>Rohrschelle DN 25</t>
  </si>
  <si>
    <t>2.  .088</t>
  </si>
  <si>
    <t>Rohrschelle DN 20</t>
  </si>
  <si>
    <t>2.  .089</t>
  </si>
  <si>
    <t>Rohrschelle DN 15</t>
  </si>
  <si>
    <t>2. . 0891</t>
  </si>
  <si>
    <t>Rohrschelle DN 12</t>
  </si>
  <si>
    <t>(3,10€ + Index + 4GM) ist in der Aufmaßzählliste als DN15 erfasst</t>
  </si>
  <si>
    <t xml:space="preserve">x </t>
  </si>
  <si>
    <t>2.  .090</t>
  </si>
  <si>
    <t>Wärmeschutz-Isolierungen</t>
  </si>
  <si>
    <t>In den Technik- und Lagerräumen werden Leitungen mit</t>
  </si>
  <si>
    <t>Isolationsmatrix Trinkwasser</t>
  </si>
  <si>
    <t>3.  .001</t>
  </si>
  <si>
    <t>Rohr DN 80, 80 mm stark isolieren</t>
  </si>
  <si>
    <t>3.  .002</t>
  </si>
  <si>
    <t>Rohr DN 65, 60 mm stark isolieren</t>
  </si>
  <si>
    <t>3.  .003</t>
  </si>
  <si>
    <t>Rohr DN 40, 40 mm stark isolieren</t>
  </si>
  <si>
    <t>3.  .004</t>
  </si>
  <si>
    <t>Rohr DN 32, 30 mm stark isolieren</t>
  </si>
  <si>
    <t>3.  .005</t>
  </si>
  <si>
    <t>Rohr DN 25, 30 mm stark isolieren</t>
  </si>
  <si>
    <t>3.  .006</t>
  </si>
  <si>
    <t>Rohr DN 20, 20 mm stark isolieren</t>
  </si>
  <si>
    <t>3.  .007</t>
  </si>
  <si>
    <t>Rohr DN 15, 20 mm stark isolieren</t>
  </si>
  <si>
    <t>3.  .008</t>
  </si>
  <si>
    <t>System-Rohr DN 12 10 mm stark isolieren</t>
  </si>
  <si>
    <t>3.  .009</t>
  </si>
  <si>
    <t>System-Rohr DN 15, 22 mm stark isolieren</t>
  </si>
  <si>
    <t>3.  .010</t>
  </si>
  <si>
    <t>System-Rohr DN 20, 22 mm stark isolieren</t>
  </si>
  <si>
    <t>3.  .011</t>
  </si>
  <si>
    <t>Rohrdurchführung DN 25</t>
  </si>
  <si>
    <t>3.  .012</t>
  </si>
  <si>
    <t>DN 32, Innen Ø 40 mm, Isolierstärke: 19 mm</t>
  </si>
  <si>
    <t>Einrichtungen</t>
  </si>
  <si>
    <t>Die sanitären Einrichtungen sind vom Installateur zu liefern,</t>
  </si>
  <si>
    <t>UP Elemente</t>
  </si>
  <si>
    <t>4.  .001</t>
  </si>
  <si>
    <t>UP Element für Spülkasten 12 cm</t>
  </si>
  <si>
    <t>4.  .002</t>
  </si>
  <si>
    <t>UP-Element barrierefrei, höhenverstellbar,</t>
  </si>
  <si>
    <t>4.  .003</t>
  </si>
  <si>
    <t>UP Element für Waschtisch, Standarmatur</t>
  </si>
  <si>
    <t>(Traverse 111.788.00.1 (Nachtrag erstellen?)</t>
  </si>
  <si>
    <t>4.  .004</t>
  </si>
  <si>
    <t>UP Element für Dusche und Badewanne, 98112 cm,</t>
  </si>
  <si>
    <t>4.  .005</t>
  </si>
  <si>
    <t>UP Element für Urinal, 109127 cm, universell</t>
  </si>
  <si>
    <t>4.  .006</t>
  </si>
  <si>
    <t>UP Element für Stütz-  und Haltegriffe  für Trockenbau</t>
  </si>
  <si>
    <t>WC Einrichtung</t>
  </si>
  <si>
    <t>4.  .007</t>
  </si>
  <si>
    <t>Wandtiefspül-WC</t>
  </si>
  <si>
    <t>Nachtrag 1</t>
  </si>
  <si>
    <t>4.  .008</t>
  </si>
  <si>
    <t>WC Sitz mit Softclosing</t>
  </si>
  <si>
    <t>4.  .009</t>
  </si>
  <si>
    <t>Betätigungsplatte für 2-Mengen-Spülung</t>
  </si>
  <si>
    <t>Urinal Einrichtung</t>
  </si>
  <si>
    <t>4.  .010</t>
  </si>
  <si>
    <t>Absaugeurinal</t>
  </si>
  <si>
    <t>4.  .011</t>
  </si>
  <si>
    <t>Rohbauset mit Spülrohr, für Urinalsteuerung</t>
  </si>
  <si>
    <t>4.  .012</t>
  </si>
  <si>
    <t>Elektronische Spülauslösung für Urinal</t>
  </si>
  <si>
    <t>Waschtischeinrichtung</t>
  </si>
  <si>
    <t>4.  .013</t>
  </si>
  <si>
    <t>Handwaschbecken 45 x 35 cm Form: rechteckig</t>
  </si>
  <si>
    <t>4.  .014</t>
  </si>
  <si>
    <t>Waschtisch Breite: 600 mm, Tiefe: 450 mm</t>
  </si>
  <si>
    <t>4.  .015</t>
  </si>
  <si>
    <t>Waschtischarmatur, mit IR-Sensor, mit Mischung</t>
  </si>
  <si>
    <t>4.  .016</t>
  </si>
  <si>
    <t>CNX Converter 30V - 6V, kurze Ausführung</t>
  </si>
  <si>
    <t>Behinderten WC Einrichtung</t>
  </si>
  <si>
    <t>4.  .017</t>
  </si>
  <si>
    <t>Behinderten Waschtisch 80 x 55,5 cm rechteckig</t>
  </si>
  <si>
    <t>4.  .018</t>
  </si>
  <si>
    <t>Behinderten WC Wandtiefspül-WC ohne Spülrande</t>
  </si>
  <si>
    <t>4.  .019</t>
  </si>
  <si>
    <t>Handbrause Länge 1000 mm</t>
  </si>
  <si>
    <t>AB Schuster #15318109</t>
  </si>
  <si>
    <t>4.  .020</t>
  </si>
  <si>
    <t>Wandanschlussbogen Handbrause</t>
  </si>
  <si>
    <t>Duscheinrichtung</t>
  </si>
  <si>
    <t>4.  .021</t>
  </si>
  <si>
    <t>Unterputzthermostat für Dusche DN15</t>
  </si>
  <si>
    <t>4.  .022</t>
  </si>
  <si>
    <t>Fertigmontageset Dusche UP Edelstahl rund</t>
  </si>
  <si>
    <t>4.  .023</t>
  </si>
  <si>
    <t>Brausekopf Dusche DN15</t>
  </si>
  <si>
    <t>4.  .024</t>
  </si>
  <si>
    <t>Brausewannen-Einrichtung 80 x 80 cm,</t>
  </si>
  <si>
    <t>4.  .025</t>
  </si>
  <si>
    <t>Abdichten der Wanne gegenüber der Wand,</t>
  </si>
  <si>
    <t>Ausgussbecken</t>
  </si>
  <si>
    <t>4.  .026</t>
  </si>
  <si>
    <t>Ausgussbeckenanlage bestehend aus:</t>
  </si>
  <si>
    <t>4.  .027</t>
  </si>
  <si>
    <t>Wandarmatur DN 15 / PN 10 aus Messing</t>
  </si>
  <si>
    <t>Zubehör</t>
  </si>
  <si>
    <t>4.  .028</t>
  </si>
  <si>
    <t>Gitter-Papierkorb für Aufputzmontage oder freistehend</t>
  </si>
  <si>
    <t>4.  .029</t>
  </si>
  <si>
    <t>Papierhandtuchspender aus 1,5 mm gebürstetem</t>
  </si>
  <si>
    <t>4.  .030</t>
  </si>
  <si>
    <t>Berührungsfreier Seifenspender Edelstahl</t>
  </si>
  <si>
    <t>4.  .031</t>
  </si>
  <si>
    <t>Hygieneabfallbehälter mit Hygienebeutelspender Edelstahl</t>
  </si>
  <si>
    <t>4.  .032</t>
  </si>
  <si>
    <t>Haltegriff Set Länge: 1.000 mm,</t>
  </si>
  <si>
    <t>4.  .033</t>
  </si>
  <si>
    <t>Stützklappgriff aus Edelstahl Länge 700mm</t>
  </si>
  <si>
    <t>4.  .034</t>
  </si>
  <si>
    <t>Kippspiegel 600 x 540 x 90 mm</t>
  </si>
  <si>
    <t>4.  .035</t>
  </si>
  <si>
    <t>Rückenlehne für WC-Sitz 543 x 180 x 140 mm</t>
  </si>
  <si>
    <t>4.  .036</t>
  </si>
  <si>
    <t>Duschklappsitz, rechteckig</t>
  </si>
  <si>
    <t>4.  .037</t>
  </si>
  <si>
    <t>Kristallglasspiegel, 650 x 600 mm, Splitterschutz</t>
  </si>
  <si>
    <t>4.  .038</t>
  </si>
  <si>
    <t>Bürstengarnitur aus massivem Edelstahl</t>
  </si>
  <si>
    <t>4.  .039</t>
  </si>
  <si>
    <t>WC-Großrollenhalter</t>
  </si>
  <si>
    <t>4.  .040</t>
  </si>
  <si>
    <t>Spültisch-Zubehör, bestehend aus:</t>
  </si>
  <si>
    <t>4.  .041</t>
  </si>
  <si>
    <t>Küchenarmatur</t>
  </si>
  <si>
    <t>4.  .042</t>
  </si>
  <si>
    <t>Eckventil 1/2" mit Verlängerung und Schubrosette</t>
  </si>
  <si>
    <t>4.  .043</t>
  </si>
  <si>
    <t>Doppelspindel-Eckregulierventil 1/2"</t>
  </si>
  <si>
    <t>4.  .044</t>
  </si>
  <si>
    <t>Geruchsverschluss für Waschbecken und Spülen</t>
  </si>
  <si>
    <t>5 Stück in Nachtrag 1 durch UP Sifons ersetzt!</t>
  </si>
  <si>
    <t>4.  .045</t>
  </si>
  <si>
    <t>Geruchsverschluss für Geräte, mit Einlauftrichter oval</t>
  </si>
  <si>
    <t>4.  .046</t>
  </si>
  <si>
    <t>Geruchsverschluss AP für Geräte, mit Abdeckung</t>
  </si>
  <si>
    <t>Bodenabläufe/ Rinnen</t>
  </si>
  <si>
    <t>4.  .047</t>
  </si>
  <si>
    <t>Edelstahl-Entwässerungsrinne B156 L4600 mm</t>
  </si>
  <si>
    <t>Nachtrag 2</t>
  </si>
  <si>
    <t>4.  .048</t>
  </si>
  <si>
    <t>Bodenablaufunterteil DN 70 senkrecht</t>
  </si>
  <si>
    <t>4.  .049</t>
  </si>
  <si>
    <t>Brandschutzelement DN 70</t>
  </si>
  <si>
    <t>Bodenablauf DN 70</t>
  </si>
  <si>
    <t>4.  .050</t>
  </si>
  <si>
    <t>V4A Bodenablauf incl. V4A Lochrostabdeckung</t>
  </si>
  <si>
    <t>4.  .051</t>
  </si>
  <si>
    <t>4.  .052</t>
  </si>
  <si>
    <t>Wassermanagment System</t>
  </si>
  <si>
    <t>4.  .053</t>
  </si>
  <si>
    <t>Steuerzentrale CNX 64 mit Touch-Display</t>
  </si>
  <si>
    <t>4.  .054</t>
  </si>
  <si>
    <t>Leitung J-Y(St)Y, 2x2x0,8 mm schwarz - grau,</t>
  </si>
  <si>
    <t>4.  .055</t>
  </si>
  <si>
    <t>CNX Inbetriebnahme</t>
  </si>
  <si>
    <t>Psch</t>
  </si>
  <si>
    <t>4.  .056</t>
  </si>
  <si>
    <t>Silikon mit pilzhemmendem Dichtstoff (sauervernetzend) für</t>
  </si>
  <si>
    <t>4.  .057</t>
  </si>
  <si>
    <t>Organisation einer Bemusterung sämtlicher Sanitärgegenstände</t>
  </si>
  <si>
    <t>Enthärtungsanlage</t>
  </si>
  <si>
    <t>5.  .001</t>
  </si>
  <si>
    <t>Enthärtungsanlage Parallel</t>
  </si>
  <si>
    <t>5.  .002</t>
  </si>
  <si>
    <t>Salzmangelanzeige</t>
  </si>
  <si>
    <t>5.  .003</t>
  </si>
  <si>
    <t>Verschneideeinrichtung R 2"</t>
  </si>
  <si>
    <t>5.  .004</t>
  </si>
  <si>
    <t>Regenerationssalz</t>
  </si>
  <si>
    <t>5.  .005</t>
  </si>
  <si>
    <t>Dosieranlage Berkodos AM 4-50</t>
  </si>
  <si>
    <t>5.  .006</t>
  </si>
  <si>
    <t>Auffangbehälter für Chemikalien Größe 60</t>
  </si>
  <si>
    <t>5.  .007</t>
  </si>
  <si>
    <t>Härtestabilisierungsmittel, Korrosionsschutzmittel</t>
  </si>
  <si>
    <t>5.  .008</t>
  </si>
  <si>
    <t>Anklemmarbeiten, Inbetriebnahme und Einweisung</t>
  </si>
  <si>
    <t>Frischwasserstation</t>
  </si>
  <si>
    <t>6.  .001</t>
  </si>
  <si>
    <t>Frischwasserstation Qmin: 82 l/m / Qmax: 171 l/min</t>
  </si>
  <si>
    <t>Stk.</t>
  </si>
  <si>
    <t>6.  .002</t>
  </si>
  <si>
    <t>Absperr-Set für Geräte/Module mit Dämmung</t>
  </si>
  <si>
    <t>6.  .003</t>
  </si>
  <si>
    <t>Absperrhahn mit Dämmung DN25</t>
  </si>
  <si>
    <t>6.  .004</t>
  </si>
  <si>
    <t>Zirkulationspumpen-Set als Einbauteil</t>
  </si>
  <si>
    <t>6.  .005</t>
  </si>
  <si>
    <t>Entleerstutzen mit Entleerventil DN25</t>
  </si>
  <si>
    <t>6.  .006</t>
  </si>
  <si>
    <t>Probenahmeventil JRG DVGW DN8</t>
  </si>
  <si>
    <t>6.  .007</t>
  </si>
  <si>
    <t>Sicherheitsventil 8 bar,</t>
  </si>
  <si>
    <t>6.  .008</t>
  </si>
  <si>
    <t>Rückspülbarer Trinkwasserfeinfilter DN25</t>
  </si>
  <si>
    <t>6.  .009</t>
  </si>
  <si>
    <t>Verteilerbox für Spannungsversorgung</t>
  </si>
  <si>
    <t>Pufferspeicher und Zubehör</t>
  </si>
  <si>
    <t>6.  .010</t>
  </si>
  <si>
    <t>Pufferspeicher 1000 ltr.</t>
  </si>
  <si>
    <t>6.  .011</t>
  </si>
  <si>
    <t>Mantel-Absperr-Kugelhahn DN50; für PS 100mm</t>
  </si>
  <si>
    <t>6.  .012</t>
  </si>
  <si>
    <t>Temp.-fühler + Zubehör, Pt1000, Leitung 7m, AD 5mm</t>
  </si>
  <si>
    <t>6.  .013</t>
  </si>
  <si>
    <t>Kesselkreis-/Speicherladesatz Qn300 DN25 PWMopt</t>
  </si>
  <si>
    <t>6.  .014</t>
  </si>
  <si>
    <t>Inbetriebnahme der Frischwassserstation</t>
  </si>
  <si>
    <t>Taglohn und Sonstiges</t>
  </si>
  <si>
    <t>7.  .001</t>
  </si>
  <si>
    <t>Obermonteur Abrechnungslohn</t>
  </si>
  <si>
    <t>Std</t>
  </si>
  <si>
    <t>7.  .002</t>
  </si>
  <si>
    <t>Monteur Abrechnungslohn</t>
  </si>
  <si>
    <t>7.  .003</t>
  </si>
  <si>
    <t>Helfer/Auszubildender</t>
  </si>
  <si>
    <t>7.  .004</t>
  </si>
  <si>
    <t>Servicetechniker</t>
  </si>
  <si>
    <t>7.  .004.01</t>
  </si>
  <si>
    <t>HD-PE-Rohr ⌀125</t>
  </si>
  <si>
    <t>EK 3,09€ + Index / Rapport 50729</t>
  </si>
  <si>
    <t>7.  .004.02</t>
  </si>
  <si>
    <t>HD-PE-Bogen da:125mm; 45°</t>
  </si>
  <si>
    <t>EK 10,43€ + Index / Rapport 50729</t>
  </si>
  <si>
    <t>7.  .004.03</t>
  </si>
  <si>
    <t>HD-PE-Reinigungsrohr 125x110mm 90° Öffung rund</t>
  </si>
  <si>
    <t>EK 30,78€ + Index / Rapport 50729</t>
  </si>
  <si>
    <t>7.  .004.04</t>
  </si>
  <si>
    <t>HD-PE-Bogen da:125mm; 87°</t>
  </si>
  <si>
    <t>EK 10,78€ + Index / Rapport 50729</t>
  </si>
  <si>
    <t>7.  .004.05</t>
  </si>
  <si>
    <t>HD-PE-T-Muffe da:125mm; 15-90° als Muffenschweißfitting</t>
  </si>
  <si>
    <t>EK 10,11€ + Index / Rapport 50729</t>
  </si>
  <si>
    <t>7.  .004.06</t>
  </si>
  <si>
    <t>EK 4,90€ + Index / Rapport 50729 (Berechnung wie Pos. 1.  .042 ohne GM)</t>
  </si>
  <si>
    <t>7.  .004.07</t>
  </si>
  <si>
    <t xml:space="preserve">HD-PE-Bogen da:56mm; 90° </t>
  </si>
  <si>
    <t>EK 2,24€ + Index / Rapport 32646</t>
  </si>
  <si>
    <t>7.  .004.08</t>
  </si>
  <si>
    <t xml:space="preserve">HD-PE-Bogen da:56mm; 45° </t>
  </si>
  <si>
    <t>7.  .004.09</t>
  </si>
  <si>
    <t>HD-PE-T-Muffe da:56mm; 15-90° als Muffenschweißfitting</t>
  </si>
  <si>
    <t>EK 4,38€ + Index / Rapport 32646</t>
  </si>
  <si>
    <t>7.  .004.10</t>
  </si>
  <si>
    <t>HD-PE-T-Muffe da:110mm; 15-90° als Muffenschweißfitting</t>
  </si>
  <si>
    <t>EK 5,82€ + Index / Rapport 32646</t>
  </si>
  <si>
    <t>7.  .004.11</t>
  </si>
  <si>
    <t>Edelstahl Muffe ⌀15</t>
  </si>
  <si>
    <t>EK 4,80€ + Index / Rapport 32646 (laut unserer Kalk. Liste)</t>
  </si>
  <si>
    <t>7.  .004.12</t>
  </si>
  <si>
    <t>Edelstahl Rohr ⌀15</t>
  </si>
  <si>
    <t>EK 6,50€ + Index / Rapport 32646 (laut unserer Kalk. Liste)</t>
  </si>
  <si>
    <t>7.  .004.13</t>
  </si>
  <si>
    <t>Wickelisolierung rot (Rolle)</t>
  </si>
  <si>
    <t>EK 1,96€ + Index / Rapport 32646</t>
  </si>
  <si>
    <t>7.  .004.14</t>
  </si>
  <si>
    <t>Uponor Unipipe Rohr ⌀16</t>
  </si>
  <si>
    <t>EK 4,10€ + Index / Rapport 32644 (laut unserer Kalk. Liste)</t>
  </si>
  <si>
    <t>7.  .004.15</t>
  </si>
  <si>
    <t>Uponor Unipipe Übergang ⌀16 x 3/4" IG</t>
  </si>
  <si>
    <t>EK 5,20€ + Index / Rapport 32644 (laut unserer Kalk. Liste)</t>
  </si>
  <si>
    <t>EK 11,00 + Index / Rapport 32644 (laut unserer Kalk. Liste)</t>
  </si>
  <si>
    <t>7.  .004.16</t>
  </si>
  <si>
    <t>Rotguss Stopfen 3/4"</t>
  </si>
  <si>
    <t xml:space="preserve">EK 1,88€ + Index / Rapport 32644 </t>
  </si>
  <si>
    <t>7.  .004.17</t>
  </si>
  <si>
    <t>Edelstahl Kappe ⌀22</t>
  </si>
  <si>
    <t>EK 6,96€ + Index / Rapport 32644</t>
  </si>
  <si>
    <t>7.  .004.18</t>
  </si>
  <si>
    <t>Gerätehahn 1/2 x 3/4"</t>
  </si>
  <si>
    <t>EK 12,90€ + Index / Rapport 32644</t>
  </si>
  <si>
    <t>Kernbohrungen durch Porenbeton / Ziegel</t>
  </si>
  <si>
    <t>7.  .005</t>
  </si>
  <si>
    <t>Bohrungen, 100 mm Ø, durch Porenbetonwände bis</t>
  </si>
  <si>
    <t>7.  .006</t>
  </si>
  <si>
    <t>Bohrungen, 150 mm Ø</t>
  </si>
  <si>
    <t>7.  .007</t>
  </si>
  <si>
    <t>Kernbohrungen durch Beton</t>
  </si>
  <si>
    <t>7.  .008</t>
  </si>
  <si>
    <t>Kernbohrungen, 100 mm Ø, in Betonwände oder -decken</t>
  </si>
  <si>
    <t>7.  .009</t>
  </si>
  <si>
    <t>Kernbohrungen, 125 mm Ø, in Betonwände oder -decken</t>
  </si>
  <si>
    <t>7.  .010</t>
  </si>
  <si>
    <t>Kernbohrungen, 150 mm Ø, in Betonwände oder -decken</t>
  </si>
  <si>
    <t>7.  .011</t>
  </si>
  <si>
    <t>Montageplanung Titel 1-3</t>
  </si>
  <si>
    <t>7.  .012</t>
  </si>
  <si>
    <t>Bautagebuch des AN erstellen</t>
  </si>
  <si>
    <t>7.  .013</t>
  </si>
  <si>
    <t>Komplette Inbetriebnahme der aufgeführten</t>
  </si>
  <si>
    <t>7.  .014</t>
  </si>
  <si>
    <t>Erstellung Kabelzugliste für den Elektriker.</t>
  </si>
  <si>
    <t>7.  .015</t>
  </si>
  <si>
    <t>Elektrische Anschlussarbeiten sämtlicher aufgeführter</t>
  </si>
  <si>
    <t>7.  .016</t>
  </si>
  <si>
    <t>Druckprobe/ Spülen/ sämtlicher aufgeführten Leitungen</t>
  </si>
  <si>
    <t>7.  .017</t>
  </si>
  <si>
    <t>Spülen und Reinigen sämtlicher Rohrleitungen im</t>
  </si>
  <si>
    <t>7.  .018</t>
  </si>
  <si>
    <t>Befüllung und Inbetriebnahme des kompletten Leitungs</t>
  </si>
  <si>
    <t>7.  .019</t>
  </si>
  <si>
    <t>Trinkwasseruntersuchung des gesamten Trinkwasser</t>
  </si>
  <si>
    <t>7.  .020</t>
  </si>
  <si>
    <t>Revisionsunterlagen sämtlicher aufgeführter</t>
  </si>
  <si>
    <t>7.  .021</t>
  </si>
  <si>
    <t>Stellen und Vorhalten eines Rollgerüstes für Arbeiten</t>
  </si>
  <si>
    <t>Tage</t>
  </si>
  <si>
    <t>7.  .022</t>
  </si>
  <si>
    <t>Baustelleneinrichtung</t>
  </si>
  <si>
    <t>Wartungsarbeiten</t>
  </si>
  <si>
    <t>8.  .001</t>
  </si>
  <si>
    <t>Gewährleistungswartung Enthärtungsanlage</t>
  </si>
  <si>
    <t>8.  .002</t>
  </si>
  <si>
    <t>Gewährleistungswartung Frischwasserstation</t>
  </si>
  <si>
    <t>Fertigmontage nach Bemusterung/Austellungsbesuch</t>
  </si>
  <si>
    <t>9. .001</t>
  </si>
  <si>
    <t>Wand-Tiefspül-WC derby V3 ohne Spülrand weiss, Pfl.tectPl VIGOUR</t>
  </si>
  <si>
    <t>Ersatz für Pos 4. .007 (Info EK 164,34€ + Index + 30GM)</t>
  </si>
  <si>
    <t>9. .002</t>
  </si>
  <si>
    <t>WC-Sitz derby V3 Edelstahlscharnier abnehmb. mit Abesenkautom. Weiss VIGOUR</t>
  </si>
  <si>
    <t>Ersatz für Pos 4. .008 (Info EK 49,50€ + Index + 8GM)</t>
  </si>
  <si>
    <t>9. .003</t>
  </si>
  <si>
    <t>Abdeckplatte Sigma20 square, 2-Mengen-Spülung, mattchrom Geberit</t>
  </si>
  <si>
    <t>Ersatz für Pos 4. .009 (Info EK 113,09€ + Index + 8GM)</t>
  </si>
  <si>
    <t>9. .004</t>
  </si>
  <si>
    <t>Urinal derby V3 spülrandlos Zulauf verd. Weiss, Pfl.tectPl VIGOUR</t>
  </si>
  <si>
    <t>Ersatz für Pos 4. .010 (Info EK 164,34€ + Index + 45GM)</t>
  </si>
  <si>
    <t>9. .005</t>
  </si>
  <si>
    <t xml:space="preserve">Unterbauwaschtisch 56x42cm ohne Hahnloch,
 mit Überlauf inkl. Siebventil. Montage von unten, weiss Grohe </t>
  </si>
  <si>
    <t>Ersatz für Pos 4. .013 (Info EK 86,27€ + Index + 40GM)</t>
  </si>
  <si>
    <t>9. .006</t>
  </si>
  <si>
    <t xml:space="preserve">Waschtisch Renova Plan 60x84cm ohne Hahnloch, mit Überlauf inkl. Siebventil.
 Weiss Geberit </t>
  </si>
  <si>
    <t>Ersatz für Pos 4. .014 (Info EK 83,12€ + Index + 40GM)</t>
  </si>
  <si>
    <t>9. .007</t>
  </si>
  <si>
    <t>Conbox Fit UP RM mit Termostat + Congenial Fit IR Wand Armatur 
UP CNX Thermo. Fertigset Edelstahl eckig mit Auslauf 220mm Conti</t>
  </si>
  <si>
    <r>
      <rPr>
        <rFont val="Aptos Narrow"/>
        <color rgb="FFFF0000"/>
        <sz val="11.0"/>
      </rPr>
      <t>Ersatz für Pos 4. .015 (Info EK 1326,86€ + Index + 55GM) /</t>
    </r>
    <r>
      <rPr>
        <rFont val="Aptos Narrow"/>
        <color rgb="FFFF0000"/>
        <sz val="11.0"/>
      </rPr>
      <t>AB Schuster 15318109/ UP Box sofort ans Lager bestellt</t>
    </r>
  </si>
  <si>
    <t>9. .008</t>
  </si>
  <si>
    <t>Waschtisch clivia V2 plus care 65x55cm unterfahrbar 
ohne Hahnloch mit Überlauf und Siebventil. Weiss VIGOUR</t>
  </si>
  <si>
    <t>Ersatz für Pos 4. .017 (Info EK 207,62€ + Index + 40GM)</t>
  </si>
  <si>
    <t>9. .009</t>
  </si>
  <si>
    <t>Wandeinbausifon 1 1/4"x32mm für Waschtisch abg.horiz. 50/56mm verchromt Geberit</t>
  </si>
  <si>
    <t>5 Stück in Pos 4. .044 ersetzen (Info EK 91,93€ + Index + 18GM)</t>
  </si>
  <si>
    <t>9. .010</t>
  </si>
  <si>
    <t>Renova Comfort WC-Ring barrierefrei, antibakteriell Befestigung von obeen, weiss</t>
  </si>
  <si>
    <t>(Info EK 78,12€ + Index + 8GM)</t>
  </si>
  <si>
    <t>9. .011</t>
  </si>
  <si>
    <t>Conbox Dusche UP RM mit Thermostat + Congenial
 el. PZ Dusche UP CNX Fertigset Thermo. Edelstahl eckig Conti</t>
  </si>
  <si>
    <r>
      <rPr>
        <rFont val="Aptos Narrow"/>
        <color rgb="FFFF0000"/>
        <sz val="11.0"/>
      </rPr>
      <t xml:space="preserve">Ersatz für Pos 4. .022 (Info EK 928,13€ + Index + 20GM) / </t>
    </r>
    <r>
      <rPr>
        <rFont val="Aptos Narrow"/>
        <color rgb="FFFF0000"/>
        <sz val="11.0"/>
      </rPr>
      <t>AB Schuster 15318109 /UP Box sofort ans Lager bestellt</t>
    </r>
  </si>
  <si>
    <t>9. .012</t>
  </si>
  <si>
    <t>Zala Abfallbehälter 20 Liter Edelstahl Kemmlit</t>
  </si>
  <si>
    <t>Ersatz für Pos.4. .028 (Info EK 151,32€ + Index + 15GM)</t>
  </si>
  <si>
    <t>9. .013</t>
  </si>
  <si>
    <t>Zala Handtuchrollenspender Edelstahl Kemmlit</t>
  </si>
  <si>
    <t xml:space="preserve">Ersatz für Pos.4. .029 (Info EK 231,93€ + Index + 15GM) </t>
  </si>
  <si>
    <t>9. .014</t>
  </si>
  <si>
    <t>Zala Handtuchspender Edelstahl Kemmlit</t>
  </si>
  <si>
    <r>
      <rPr>
        <rFont val="Aptos Narrow"/>
        <b/>
        <color rgb="FFFF0000"/>
        <sz val="11.0"/>
        <u/>
      </rPr>
      <t>Alternativ</t>
    </r>
    <r>
      <rPr>
        <rFont val="Aptos Narrow"/>
        <color rgb="FFFF0000"/>
        <sz val="11.0"/>
      </rPr>
      <t xml:space="preserve"> für Pos. 4. .029 (Info EK 167,85 + Index + 15GM)</t>
    </r>
  </si>
  <si>
    <t>9. .015</t>
  </si>
  <si>
    <t>Zala Schaumseifenspender Edelstahl Kemmlit</t>
  </si>
  <si>
    <t>Ersatz für Pos. 4. .030 (Info EK 125,63€ + Index + 15GM)</t>
  </si>
  <si>
    <t>9. .016</t>
  </si>
  <si>
    <t>Zala Hygienebehälter mit Kniebedienung 9 Liter Edelstahl Kemmlit</t>
  </si>
  <si>
    <t>Ersatz für Pos. 4. .031 (Info EK 154,62€ + Index + 15GM)</t>
  </si>
  <si>
    <t>9. .017</t>
  </si>
  <si>
    <t>Zala Tampon und Bindenspender Edelstahl Kemmlit</t>
  </si>
  <si>
    <t>(Info EK 125,63€ + Index + 15GM)</t>
  </si>
  <si>
    <t>9. .018</t>
  </si>
  <si>
    <t>Zala Toiletttenpapierspender Edelstahl Kemmlit</t>
  </si>
  <si>
    <t>Ersatz für Pos. 4. .039 (Info EK 158,61€ + Index + 15GM)</t>
  </si>
  <si>
    <t xml:space="preserve">Duschrinne </t>
  </si>
  <si>
    <t>9. .019</t>
  </si>
  <si>
    <t>Duschrinne - ELIX - aus Edelstahl Eckausführung 2x90° und 
1x Verbindungsflansch Gesamtlänge1:ca.2900mm Gesamtlänge 2:ca.2400mm</t>
  </si>
  <si>
    <t>(Info EK 1659,24€ + Index + 640GM)</t>
  </si>
  <si>
    <t>9. .020</t>
  </si>
  <si>
    <t>Schlitzrost geschliffen zu oben genannter Rinne</t>
  </si>
  <si>
    <t>(Info EK 627,62€ + Index + 80GM)</t>
  </si>
  <si>
    <t>9. .021</t>
  </si>
  <si>
    <t>Duschrinne aus Edelstahl Einlauflänge: 1100mm / Gesamtlänge: 1180 mm</t>
  </si>
  <si>
    <t>(Info EK 219,72€ + Index + 210GM)</t>
  </si>
  <si>
    <t>9. .022</t>
  </si>
  <si>
    <t>Rost zu oben genannter Duschrinne Einlauflänge: 1100mm / Einlaufbreite: 70mm</t>
  </si>
  <si>
    <t>(Info EK 105,31€ + Index + 30GM)</t>
  </si>
  <si>
    <t>9. .023</t>
  </si>
  <si>
    <t>Duschrinne aus Edelstahl Gesamtlänge: 880mm / Gesamtbreite 150mm</t>
  </si>
  <si>
    <t>(Info EK 151,65€ + Index + 210GM)</t>
  </si>
  <si>
    <t>9. .024</t>
  </si>
  <si>
    <t>Rost zu oben genannter Duschrinne  Einlauflänge: 800mm / Einlaufbreite: 70mm</t>
  </si>
  <si>
    <t>(Info EK 43,92€ + Index + 30GM) Bitte alle Pos. Mit den Pos. 4. .047 - 4. .048 gegenrechnen!!</t>
  </si>
  <si>
    <t>Nachtrag 3</t>
  </si>
  <si>
    <t xml:space="preserve">Mehrpreis Plattenwärmetauscher </t>
  </si>
  <si>
    <t>09. .025</t>
  </si>
  <si>
    <t>Mehrpreis Plattenwärmetauscher Frischwasserstation in buntmetallfreier Ausführung
Typ 80 PWT - VacInox gelötet
"PWT-Vacinox, bei verzinktem Leitungsnetz und Mischinstallation zu empfehlen, um einer
Entzinkung durch den Plattenwärmetauscher mit CU-Lot (Standardtauscher!) zu verhindern. Auch um Grenzwertige Wasserqualitäten abzudecken die mit dem Standard CU-Lot Wärmetauscher nicht abzudecken sind."</t>
  </si>
  <si>
    <t>(Info EK 1466,04€ + Index)</t>
  </si>
  <si>
    <t>Nachtrag 4</t>
  </si>
  <si>
    <t>Einlegeteil mit Impfstelle (Grünbeck)</t>
  </si>
  <si>
    <t>gehört zu Pos.05.  .01</t>
  </si>
  <si>
    <t>Müpro Schiene 27/18</t>
  </si>
  <si>
    <t>PE Steckmuffe mit Lippendichtung ⌀75</t>
  </si>
  <si>
    <t>PE Schweißmuffe ⌀75</t>
  </si>
  <si>
    <t>Misselfix Iso.</t>
  </si>
  <si>
    <t>Rollen</t>
  </si>
  <si>
    <t>PE Schweißmuffe ⌀50</t>
  </si>
  <si>
    <t>PE Steckmuffe mit Lippendichtung ⌀50</t>
  </si>
  <si>
    <t>Schlauch Iso. ⌀75</t>
  </si>
  <si>
    <t>Gewindestab M10</t>
  </si>
  <si>
    <t>PE Schweißmuffe ⌀125</t>
  </si>
  <si>
    <t>PE Bogen ⌀125</t>
  </si>
  <si>
    <t>PE Putzstück ⌀125</t>
  </si>
  <si>
    <t>PE Rohr ⌀125</t>
  </si>
  <si>
    <t>Schlauch Iso. ⌀50 4mm</t>
  </si>
  <si>
    <t>Schlauch Iso. ⌀100 4mm</t>
  </si>
  <si>
    <t>Rotguss Stopfen 1/2" AG</t>
  </si>
  <si>
    <t>Schraubfitting Übergang mit IG ⌀20x2,0mm - 1/2 IG</t>
  </si>
  <si>
    <t>Climaflex Iso 15x9mm</t>
  </si>
  <si>
    <t>Climaflex Iso 35x13mm</t>
  </si>
  <si>
    <t>Climaflex Iso 28x13mm</t>
  </si>
  <si>
    <t>Climaflex Iso 15x13mm</t>
  </si>
  <si>
    <t>MM C-Stahl Endkappe ⌀28</t>
  </si>
  <si>
    <t>MM C-Stahl Endkappe ⌀35</t>
  </si>
  <si>
    <t>MM C-Stahl Endkappe ⌀15</t>
  </si>
  <si>
    <t>MM C-Stahl Endkappe ⌀18</t>
  </si>
  <si>
    <t>Müpro Trapezblechhänger M10</t>
  </si>
  <si>
    <t>Trapezblech Lochzange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</si>
</sst>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&quot;€&quot;"/>
    <numFmt numFmtId="165" formatCode="_-* #,##0.00\ &quot;€&quot;_-;\-* #,##0.00\ &quot;€&quot;_-;_-* &quot;-&quot;??\ &quot;€&quot;_-;_-@"/>
  </numFmts>
  <fonts count="9">
    <font>
      <sz val="11.0"/>
      <color theme="1"/>
      <name val="Aptos Narrow"/>
      <scheme val="minor"/>
    </font>
    <font>
      <b/>
      <sz val="18.0"/>
      <color theme="1"/>
      <name val="Aptos Narrow"/>
    </font>
    <font/>
    <font>
      <b/>
      <sz val="11.0"/>
      <color theme="1"/>
      <name val="Aptos Narrow"/>
    </font>
    <font>
      <sz val="11.0"/>
      <color theme="1"/>
      <name val="Aptos Narrow"/>
    </font>
    <font>
      <b/>
      <sz val="11.0"/>
      <color rgb="FFFF0000"/>
      <name val="Aptos Narrow"/>
    </font>
    <font>
      <sz val="11.0"/>
      <color rgb="FFFF0000"/>
      <name val="Aptos Narrow"/>
    </font>
    <font>
      <color theme="1"/>
      <name val="Aptos Narrow"/>
      <scheme val="minor"/>
    </font>
    <font>
      <strike/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AEAEAE"/>
        <bgColor rgb="FFAEAEAE"/>
      </patternFill>
    </fill>
    <fill>
      <patternFill patternType="solid">
        <fgColor rgb="FF95DCF7"/>
        <bgColor rgb="FF95DCF7"/>
      </patternFill>
    </fill>
    <fill>
      <patternFill patternType="solid">
        <fgColor theme="0"/>
        <bgColor theme="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4D94D8"/>
      </left>
      <top style="medium">
        <color rgb="FF4D94D8"/>
      </top>
    </border>
    <border>
      <right style="medium">
        <color rgb="FF4D94D8"/>
      </right>
      <top style="medium">
        <color rgb="FF4D94D8"/>
      </top>
    </border>
    <border>
      <left style="medium">
        <color rgb="FF4D94D8"/>
      </left>
      <bottom style="medium">
        <color rgb="FF4D94D8"/>
      </bottom>
    </border>
    <border>
      <right style="medium">
        <color rgb="FF4D94D8"/>
      </right>
      <bottom style="medium">
        <color rgb="FF4D94D8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3" numFmtId="0" xfId="0" applyFont="1"/>
    <xf borderId="0" fillId="0" fontId="4" numFmtId="164" xfId="0" applyFont="1" applyNumberFormat="1"/>
    <xf borderId="0" fillId="0" fontId="4" numFmtId="0" xfId="0" applyAlignment="1" applyFont="1">
      <alignment horizontal="center"/>
    </xf>
    <xf borderId="0" fillId="0" fontId="4" numFmtId="165" xfId="0" applyFont="1" applyNumberFormat="1"/>
    <xf borderId="4" fillId="3" fontId="3" numFmtId="0" xfId="0" applyAlignment="1" applyBorder="1" applyFill="1" applyFont="1">
      <alignment horizontal="center"/>
    </xf>
    <xf borderId="4" fillId="3" fontId="3" numFmtId="164" xfId="0" applyAlignment="1" applyBorder="1" applyFill="1" applyFont="1" applyNumberFormat="1">
      <alignment horizontal="center"/>
    </xf>
    <xf borderId="4" fillId="3" fontId="3" numFmtId="165" xfId="0" applyAlignment="1" applyBorder="1" applyFill="1" applyFont="1" applyNumberFormat="1">
      <alignment horizontal="center"/>
    </xf>
    <xf borderId="4" fillId="3" fontId="3" numFmtId="0" xfId="0" applyAlignment="1" applyBorder="1" applyFill="1" applyFont="1">
      <alignment horizontal="center" shrinkToFit="0" wrapText="1"/>
    </xf>
    <xf borderId="5" fillId="4" fontId="3" numFmtId="0" xfId="0" applyBorder="1" applyFill="1" applyFont="1"/>
    <xf borderId="5" fillId="4" fontId="4" numFmtId="0" xfId="0" applyBorder="1" applyFill="1" applyFont="1"/>
    <xf borderId="5" fillId="4" fontId="4" numFmtId="164" xfId="0" applyBorder="1" applyFill="1" applyFont="1" applyNumberFormat="1"/>
    <xf borderId="5" fillId="4" fontId="4" numFmtId="0" xfId="0" applyAlignment="1" applyBorder="1" applyFill="1" applyFont="1">
      <alignment horizontal="center"/>
    </xf>
    <xf borderId="6" fillId="4" fontId="4" numFmtId="165" xfId="0" applyBorder="1" applyFill="1" applyFont="1" applyNumberFormat="1"/>
    <xf borderId="5" fillId="4" fontId="4" numFmtId="165" xfId="0" applyBorder="1" applyFill="1" applyFont="1" applyNumberFormat="1"/>
    <xf borderId="0" fillId="0" fontId="3" numFmtId="0" xfId="0" applyAlignment="1" applyFont="1">
      <alignment horizontal="center"/>
    </xf>
    <xf borderId="7" fillId="0" fontId="3" numFmtId="0" xfId="0" applyBorder="1" applyFont="1"/>
    <xf borderId="8" fillId="0" fontId="4" numFmtId="0" xfId="0" applyBorder="1" applyFont="1"/>
    <xf borderId="9" fillId="0" fontId="3" numFmtId="0" xfId="0" applyBorder="1" applyFont="1"/>
    <xf borderId="10" fillId="0" fontId="4" numFmtId="0" xfId="0" applyBorder="1" applyFont="1"/>
    <xf borderId="0" fillId="0" fontId="5" numFmtId="0" xfId="0" applyFont="1"/>
    <xf borderId="0" fillId="0" fontId="6" numFmtId="0" xfId="0" applyFont="1"/>
    <xf borderId="11" fillId="0" fontId="3" numFmtId="0" xfId="0" applyAlignment="1" applyBorder="1" applyFont="1">
      <alignment horizontal="center"/>
    </xf>
    <xf borderId="11" fillId="0" fontId="3" numFmtId="164" xfId="0" applyAlignment="1" applyBorder="1" applyFont="1" applyNumberFormat="1">
      <alignment horizontal="center"/>
    </xf>
    <xf borderId="11" fillId="0" fontId="3" numFmtId="165" xfId="0" applyAlignment="1" applyBorder="1" applyFont="1" applyNumberFormat="1">
      <alignment horizontal="center"/>
    </xf>
    <xf borderId="6" fillId="5" fontId="3" numFmtId="0" xfId="0" applyAlignment="1" applyBorder="1" applyFill="1" applyFont="1">
      <alignment horizontal="center"/>
    </xf>
    <xf borderId="6" fillId="5" fontId="4" numFmtId="0" xfId="0" applyBorder="1" applyFill="1" applyFont="1"/>
    <xf borderId="6" fillId="5" fontId="3" numFmtId="164" xfId="0" applyAlignment="1" applyBorder="1" applyFill="1" applyFont="1" applyNumberFormat="1">
      <alignment horizontal="center"/>
    </xf>
    <xf borderId="4" fillId="0" fontId="4" numFmtId="165" xfId="0" applyBorder="1" applyFont="1" applyNumberFormat="1"/>
    <xf borderId="4" fillId="0" fontId="4" numFmtId="0" xfId="0" applyBorder="1" applyFont="1"/>
    <xf borderId="4" fillId="5" fontId="4" numFmtId="0" xfId="0" applyAlignment="1" applyBorder="1" applyFill="1" applyFont="1">
      <alignment horizontal="left"/>
    </xf>
    <xf borderId="4" fillId="5" fontId="4" numFmtId="0" xfId="0" applyBorder="1" applyFill="1" applyFont="1"/>
    <xf borderId="4" fillId="5" fontId="4" numFmtId="0" xfId="0" applyAlignment="1" applyBorder="1" applyFill="1" applyFont="1">
      <alignment horizontal="right"/>
    </xf>
    <xf borderId="4" fillId="5" fontId="4" numFmtId="164" xfId="0" applyAlignment="1" applyBorder="1" applyFill="1" applyFont="1" applyNumberFormat="1">
      <alignment horizontal="right"/>
    </xf>
    <xf borderId="4" fillId="5" fontId="3" numFmtId="0" xfId="0" applyAlignment="1" applyBorder="1" applyFill="1" applyFont="1">
      <alignment horizontal="center"/>
    </xf>
    <xf borderId="4" fillId="5" fontId="3" numFmtId="0" xfId="0" applyBorder="1" applyFill="1" applyFont="1"/>
    <xf borderId="4" fillId="0" fontId="4" numFmtId="164" xfId="0" applyBorder="1" applyFont="1" applyNumberFormat="1"/>
    <xf borderId="4" fillId="0" fontId="4" numFmtId="0" xfId="0" applyAlignment="1" applyBorder="1" applyFont="1">
      <alignment horizontal="center"/>
    </xf>
    <xf borderId="4" fillId="0" fontId="3" numFmtId="0" xfId="0" applyBorder="1" applyFont="1"/>
    <xf borderId="4" fillId="0" fontId="6" numFmtId="0" xfId="0" applyBorder="1" applyFont="1"/>
    <xf borderId="4" fillId="0" fontId="6" numFmtId="164" xfId="0" applyBorder="1" applyFont="1" applyNumberFormat="1"/>
    <xf borderId="4" fillId="0" fontId="6" numFmtId="0" xfId="0" applyAlignment="1" applyBorder="1" applyFont="1">
      <alignment horizontal="center"/>
    </xf>
    <xf borderId="4" fillId="0" fontId="6" numFmtId="165" xfId="0" applyBorder="1" applyFont="1" applyNumberFormat="1"/>
    <xf borderId="0" fillId="0" fontId="7" numFmtId="0" xfId="0" applyFont="1"/>
    <xf borderId="4" fillId="0" fontId="8" numFmtId="0" xfId="0" applyBorder="1" applyFont="1"/>
    <xf borderId="4" fillId="0" fontId="8" numFmtId="164" xfId="0" applyBorder="1" applyFont="1" applyNumberFormat="1"/>
    <xf borderId="4" fillId="0" fontId="8" numFmtId="0" xfId="0" applyAlignment="1" applyBorder="1" applyFont="1">
      <alignment horizontal="center"/>
    </xf>
    <xf borderId="4" fillId="0" fontId="4" numFmtId="4" xfId="0" applyBorder="1" applyFont="1" applyNumberFormat="1"/>
    <xf borderId="12" fillId="0" fontId="3" numFmtId="0" xfId="0" applyBorder="1" applyFont="1"/>
    <xf borderId="4" fillId="0" fontId="6" numFmtId="0" xfId="0" applyAlignment="1" applyBorder="1" applyFont="1">
      <alignment shrinkToFit="0" wrapText="1"/>
    </xf>
    <xf borderId="0" fillId="0" fontId="6" numFmtId="164" xfId="0" applyFont="1" applyNumberFormat="1"/>
    <xf borderId="0" fillId="0" fontId="6" numFmtId="0" xfId="0" applyAlignment="1" applyFont="1">
      <alignment horizontal="center"/>
    </xf>
    <xf borderId="0" fillId="0" fontId="6" numFmtId="165" xfId="0" applyFont="1" applyNumberFormat="1"/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1.63"/>
    <col customWidth="1" min="2" max="2" width="70.5"/>
    <col customWidth="1" min="3" max="3" width="9.38"/>
    <col customWidth="1" min="4" max="4" width="6.5"/>
    <col customWidth="1" min="5" max="5" width="12.63"/>
    <col customWidth="1" min="6" max="6" width="14.5"/>
    <col customWidth="1" min="7" max="7" width="13.88"/>
    <col customWidth="1" min="8" max="8" width="10.63"/>
    <col customWidth="1" min="9" max="9" width="55.5"/>
    <col customWidth="1" min="10" max="10" width="10.0"/>
    <col customWidth="1" min="11" max="11" width="10.5"/>
    <col customWidth="1" min="12" max="26" width="10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7.25" customHeight="1">
      <c r="A2" s="4" t="s">
        <v>1</v>
      </c>
      <c r="B2" s="4"/>
      <c r="C2" s="5"/>
      <c r="D2" s="5"/>
      <c r="E2" s="6"/>
      <c r="F2" s="5"/>
      <c r="G2" s="5"/>
      <c r="H2" s="7"/>
      <c r="I2" s="5"/>
    </row>
    <row r="3">
      <c r="A3" s="4" t="s">
        <v>2</v>
      </c>
      <c r="B3" s="8" t="s">
        <v>3</v>
      </c>
      <c r="E3" s="9"/>
      <c r="G3" s="10"/>
      <c r="H3" s="11"/>
    </row>
    <row r="4">
      <c r="A4" s="12" t="s">
        <v>4</v>
      </c>
      <c r="B4" s="12" t="s">
        <v>5</v>
      </c>
      <c r="C4" s="12" t="s">
        <v>6</v>
      </c>
      <c r="D4" s="12" t="s">
        <v>7</v>
      </c>
      <c r="E4" s="13" t="s">
        <v>8</v>
      </c>
      <c r="F4" s="12" t="s">
        <v>9</v>
      </c>
      <c r="G4" s="12" t="s">
        <v>10</v>
      </c>
      <c r="H4" s="14" t="s">
        <v>11</v>
      </c>
      <c r="I4" s="12" t="s">
        <v>12</v>
      </c>
      <c r="J4" s="15" t="s">
        <v>13</v>
      </c>
      <c r="K4" s="12"/>
    </row>
    <row r="5">
      <c r="A5" s="16" t="s">
        <v>14</v>
      </c>
      <c r="B5" s="17"/>
      <c r="C5" s="17"/>
      <c r="D5" s="17"/>
      <c r="E5" s="18"/>
      <c r="F5" s="17"/>
      <c r="G5" s="19"/>
      <c r="H5" s="20">
        <f>SUM(H15:H938)</f>
        <v>93579.745</v>
      </c>
      <c r="I5" s="17"/>
      <c r="J5" s="17"/>
      <c r="K5" s="21">
        <f>SUM(K18:K332)</f>
        <v>32294.825</v>
      </c>
    </row>
    <row r="6">
      <c r="A6" s="8"/>
      <c r="E6" s="9"/>
      <c r="G6" s="10"/>
      <c r="H6" s="11"/>
      <c r="I6" s="22"/>
    </row>
    <row r="7">
      <c r="A7" s="23"/>
      <c r="B7" s="24"/>
      <c r="E7" s="9"/>
      <c r="G7" s="10"/>
      <c r="H7" s="11"/>
      <c r="I7" s="22"/>
    </row>
    <row r="8">
      <c r="A8" s="25" t="s">
        <v>15</v>
      </c>
      <c r="B8" s="26"/>
      <c r="E8" s="9"/>
      <c r="G8" s="10"/>
      <c r="H8" s="11"/>
      <c r="I8" s="22"/>
    </row>
    <row r="9">
      <c r="A9" s="8"/>
      <c r="E9" s="9"/>
      <c r="G9" s="10"/>
      <c r="H9" s="11"/>
      <c r="I9" s="22"/>
    </row>
    <row r="10">
      <c r="A10" s="23"/>
      <c r="B10" s="24"/>
      <c r="E10" s="9"/>
      <c r="G10" s="10"/>
      <c r="H10" s="11"/>
      <c r="I10" s="22"/>
    </row>
    <row r="11">
      <c r="A11" s="25" t="s">
        <v>16</v>
      </c>
      <c r="B11" s="26"/>
      <c r="E11" s="9"/>
      <c r="G11" s="10"/>
      <c r="H11" s="11"/>
      <c r="I11" s="22"/>
    </row>
    <row r="12">
      <c r="A12" s="8"/>
      <c r="E12" s="9"/>
      <c r="G12" s="10"/>
      <c r="H12" s="11"/>
      <c r="I12" s="22"/>
    </row>
    <row r="13">
      <c r="A13" s="27" t="s">
        <v>17</v>
      </c>
      <c r="B13" s="28"/>
      <c r="E13" s="9"/>
      <c r="G13" s="10"/>
      <c r="H13" s="11"/>
      <c r="I13" s="22"/>
    </row>
    <row r="14">
      <c r="A14" s="29"/>
      <c r="B14" s="29"/>
      <c r="C14" s="29"/>
      <c r="D14" s="29"/>
      <c r="E14" s="30"/>
      <c r="F14" s="29"/>
      <c r="G14" s="29"/>
      <c r="H14" s="31"/>
      <c r="I14" s="29"/>
    </row>
    <row r="15">
      <c r="A15" s="32"/>
      <c r="B15" s="33" t="s">
        <v>18</v>
      </c>
      <c r="C15" s="32"/>
      <c r="D15" s="32"/>
      <c r="E15" s="34"/>
      <c r="F15" s="32"/>
      <c r="G15" s="32"/>
      <c r="H15" s="35"/>
      <c r="I15" s="32"/>
      <c r="J15" s="36"/>
      <c r="K15" s="36"/>
    </row>
    <row r="16">
      <c r="A16" s="37"/>
      <c r="B16" s="38" t="s">
        <v>19</v>
      </c>
      <c r="C16" s="39"/>
      <c r="D16" s="37"/>
      <c r="E16" s="40"/>
      <c r="F16" s="41"/>
      <c r="G16" s="41"/>
      <c r="H16" s="35"/>
      <c r="I16" s="41"/>
      <c r="J16" s="36"/>
      <c r="K16" s="36"/>
    </row>
    <row r="17">
      <c r="A17" s="37"/>
      <c r="B17" s="42" t="s">
        <v>20</v>
      </c>
      <c r="C17" s="39"/>
      <c r="D17" s="37"/>
      <c r="E17" s="40"/>
      <c r="F17" s="41"/>
      <c r="G17" s="41"/>
      <c r="H17" s="35"/>
      <c r="I17" s="41"/>
      <c r="J17" s="36"/>
      <c r="K17" s="36"/>
    </row>
    <row r="18">
      <c r="A18" s="36" t="s">
        <v>21</v>
      </c>
      <c r="B18" s="36" t="s">
        <v>22</v>
      </c>
      <c r="C18" s="36">
        <v>6.0</v>
      </c>
      <c r="D18" s="36" t="s">
        <v>23</v>
      </c>
      <c r="E18" s="43">
        <v>47.38</v>
      </c>
      <c r="F18" s="36"/>
      <c r="G18" s="44"/>
      <c r="H18" s="35">
        <f t="shared" ref="H18:H305" si="1">(E18*F18)*ISBLANK(G18)</f>
        <v>0</v>
      </c>
      <c r="I18" s="36"/>
      <c r="J18" s="36"/>
      <c r="K18" s="35">
        <f t="shared" ref="K18:K305" si="2">J18*E18</f>
        <v>0</v>
      </c>
    </row>
    <row r="19">
      <c r="A19" s="36" t="s">
        <v>24</v>
      </c>
      <c r="B19" s="36" t="s">
        <v>25</v>
      </c>
      <c r="C19" s="36">
        <v>71.0</v>
      </c>
      <c r="D19" s="36" t="s">
        <v>23</v>
      </c>
      <c r="E19" s="43">
        <v>38.02</v>
      </c>
      <c r="F19" s="36">
        <v>87.25</v>
      </c>
      <c r="G19" s="44"/>
      <c r="H19" s="35">
        <f t="shared" si="1"/>
        <v>3317.245</v>
      </c>
      <c r="I19" s="36"/>
      <c r="J19" s="36">
        <v>73.75</v>
      </c>
      <c r="K19" s="35">
        <f t="shared" si="2"/>
        <v>2803.975</v>
      </c>
    </row>
    <row r="20">
      <c r="A20" s="36" t="s">
        <v>26</v>
      </c>
      <c r="B20" s="36" t="s">
        <v>27</v>
      </c>
      <c r="C20" s="36">
        <v>12.0</v>
      </c>
      <c r="D20" s="36" t="s">
        <v>23</v>
      </c>
      <c r="E20" s="43">
        <v>30.92</v>
      </c>
      <c r="F20" s="36">
        <v>18.5</v>
      </c>
      <c r="G20" s="44"/>
      <c r="H20" s="35">
        <f t="shared" si="1"/>
        <v>572.02</v>
      </c>
      <c r="I20" s="36"/>
      <c r="J20" s="36">
        <v>10.0</v>
      </c>
      <c r="K20" s="35">
        <f t="shared" si="2"/>
        <v>309.2</v>
      </c>
    </row>
    <row r="21" ht="15.75" customHeight="1">
      <c r="A21" s="36" t="s">
        <v>28</v>
      </c>
      <c r="B21" s="36" t="s">
        <v>29</v>
      </c>
      <c r="C21" s="36">
        <v>10.0</v>
      </c>
      <c r="D21" s="36" t="s">
        <v>23</v>
      </c>
      <c r="E21" s="43">
        <v>22.39</v>
      </c>
      <c r="F21" s="36">
        <v>45.0</v>
      </c>
      <c r="G21" s="44"/>
      <c r="H21" s="35">
        <f t="shared" si="1"/>
        <v>1007.55</v>
      </c>
      <c r="I21" s="36"/>
      <c r="J21" s="36">
        <v>20.0</v>
      </c>
      <c r="K21" s="35">
        <f t="shared" si="2"/>
        <v>447.8</v>
      </c>
    </row>
    <row r="22" ht="15.75" customHeight="1">
      <c r="A22" s="36" t="s">
        <v>30</v>
      </c>
      <c r="B22" s="36" t="s">
        <v>31</v>
      </c>
      <c r="C22" s="36">
        <v>40.0</v>
      </c>
      <c r="D22" s="36" t="s">
        <v>32</v>
      </c>
      <c r="E22" s="43">
        <v>11.64</v>
      </c>
      <c r="F22" s="36">
        <v>110.0</v>
      </c>
      <c r="G22" s="44"/>
      <c r="H22" s="35">
        <f t="shared" si="1"/>
        <v>1280.4</v>
      </c>
      <c r="I22" s="36"/>
      <c r="J22" s="36">
        <v>31.0</v>
      </c>
      <c r="K22" s="35">
        <f t="shared" si="2"/>
        <v>360.84</v>
      </c>
    </row>
    <row r="23" ht="15.75" customHeight="1">
      <c r="A23" s="36" t="s">
        <v>33</v>
      </c>
      <c r="B23" s="36" t="s">
        <v>34</v>
      </c>
      <c r="C23" s="36">
        <v>8.0</v>
      </c>
      <c r="D23" s="36" t="s">
        <v>32</v>
      </c>
      <c r="E23" s="43">
        <v>15.8</v>
      </c>
      <c r="F23" s="36">
        <v>70.0</v>
      </c>
      <c r="G23" s="44"/>
      <c r="H23" s="35">
        <f t="shared" si="1"/>
        <v>1106</v>
      </c>
      <c r="I23" s="36"/>
      <c r="J23" s="36">
        <v>14.0</v>
      </c>
      <c r="K23" s="35">
        <f t="shared" si="2"/>
        <v>221.2</v>
      </c>
    </row>
    <row r="24" ht="15.75" customHeight="1">
      <c r="A24" s="36" t="s">
        <v>35</v>
      </c>
      <c r="B24" s="36" t="s">
        <v>36</v>
      </c>
      <c r="C24" s="36">
        <v>36.0</v>
      </c>
      <c r="D24" s="36" t="s">
        <v>32</v>
      </c>
      <c r="E24" s="43">
        <v>19.49</v>
      </c>
      <c r="F24" s="36">
        <v>109.0</v>
      </c>
      <c r="G24" s="44"/>
      <c r="H24" s="35">
        <f t="shared" si="1"/>
        <v>2124.41</v>
      </c>
      <c r="I24" s="36" t="s">
        <v>37</v>
      </c>
      <c r="J24" s="36">
        <v>92.0</v>
      </c>
      <c r="K24" s="35">
        <f t="shared" si="2"/>
        <v>1793.08</v>
      </c>
    </row>
    <row r="25" ht="15.75" customHeight="1">
      <c r="A25" s="36" t="s">
        <v>38</v>
      </c>
      <c r="B25" s="36" t="s">
        <v>39</v>
      </c>
      <c r="C25" s="36">
        <v>2.0</v>
      </c>
      <c r="D25" s="36" t="s">
        <v>32</v>
      </c>
      <c r="E25" s="43">
        <v>34.6</v>
      </c>
      <c r="F25" s="36"/>
      <c r="G25" s="44"/>
      <c r="H25" s="35">
        <f t="shared" si="1"/>
        <v>0</v>
      </c>
      <c r="I25" s="36"/>
      <c r="J25" s="36"/>
      <c r="K25" s="35">
        <f t="shared" si="2"/>
        <v>0</v>
      </c>
    </row>
    <row r="26" ht="15.75" customHeight="1">
      <c r="A26" s="36" t="s">
        <v>40</v>
      </c>
      <c r="B26" s="36" t="s">
        <v>41</v>
      </c>
      <c r="C26" s="36">
        <v>16.0</v>
      </c>
      <c r="D26" s="36" t="s">
        <v>32</v>
      </c>
      <c r="E26" s="43">
        <v>17.25</v>
      </c>
      <c r="F26" s="36">
        <v>10.0</v>
      </c>
      <c r="G26" s="44"/>
      <c r="H26" s="35">
        <f t="shared" si="1"/>
        <v>172.5</v>
      </c>
      <c r="I26" s="36"/>
      <c r="J26" s="36"/>
      <c r="K26" s="35">
        <f t="shared" si="2"/>
        <v>0</v>
      </c>
    </row>
    <row r="27" ht="15.75" customHeight="1">
      <c r="A27" s="36" t="s">
        <v>42</v>
      </c>
      <c r="B27" s="36" t="s">
        <v>43</v>
      </c>
      <c r="C27" s="36">
        <v>8.0</v>
      </c>
      <c r="D27" s="36" t="s">
        <v>32</v>
      </c>
      <c r="E27" s="43">
        <v>22.18</v>
      </c>
      <c r="F27" s="36">
        <v>10.0</v>
      </c>
      <c r="G27" s="44"/>
      <c r="H27" s="35">
        <f t="shared" si="1"/>
        <v>221.8</v>
      </c>
      <c r="I27" s="36"/>
      <c r="J27" s="36">
        <v>1.0</v>
      </c>
      <c r="K27" s="35">
        <f t="shared" si="2"/>
        <v>22.18</v>
      </c>
    </row>
    <row r="28" ht="15.75" customHeight="1">
      <c r="A28" s="36" t="s">
        <v>44</v>
      </c>
      <c r="B28" s="36" t="s">
        <v>45</v>
      </c>
      <c r="C28" s="36">
        <v>14.0</v>
      </c>
      <c r="D28" s="36" t="s">
        <v>32</v>
      </c>
      <c r="E28" s="43">
        <v>28.83</v>
      </c>
      <c r="F28" s="36">
        <v>46.0</v>
      </c>
      <c r="G28" s="44"/>
      <c r="H28" s="35">
        <f t="shared" si="1"/>
        <v>1326.18</v>
      </c>
      <c r="I28" s="36"/>
      <c r="J28" s="36">
        <v>34.0</v>
      </c>
      <c r="K28" s="35">
        <f t="shared" si="2"/>
        <v>980.22</v>
      </c>
    </row>
    <row r="29" ht="15.75" customHeight="1">
      <c r="A29" s="36" t="s">
        <v>46</v>
      </c>
      <c r="B29" s="36" t="s">
        <v>47</v>
      </c>
      <c r="C29" s="36">
        <v>2.0</v>
      </c>
      <c r="D29" s="36" t="s">
        <v>32</v>
      </c>
      <c r="E29" s="43">
        <v>64.73</v>
      </c>
      <c r="F29" s="36"/>
      <c r="G29" s="44"/>
      <c r="H29" s="35">
        <f t="shared" si="1"/>
        <v>0</v>
      </c>
      <c r="I29" s="36"/>
      <c r="J29" s="36"/>
      <c r="K29" s="35">
        <f t="shared" si="2"/>
        <v>0</v>
      </c>
    </row>
    <row r="30" ht="15.75" customHeight="1">
      <c r="A30" s="36" t="s">
        <v>48</v>
      </c>
      <c r="B30" s="36" t="s">
        <v>49</v>
      </c>
      <c r="C30" s="36">
        <v>2.0</v>
      </c>
      <c r="D30" s="36" t="s">
        <v>32</v>
      </c>
      <c r="E30" s="43">
        <v>14.44</v>
      </c>
      <c r="F30" s="36">
        <v>10.0</v>
      </c>
      <c r="G30" s="44"/>
      <c r="H30" s="35">
        <f t="shared" si="1"/>
        <v>144.4</v>
      </c>
      <c r="I30" s="36"/>
      <c r="J30" s="36">
        <v>1.0</v>
      </c>
      <c r="K30" s="35">
        <f t="shared" si="2"/>
        <v>14.44</v>
      </c>
    </row>
    <row r="31" ht="15.75" customHeight="1">
      <c r="A31" s="36" t="s">
        <v>50</v>
      </c>
      <c r="B31" s="36" t="s">
        <v>51</v>
      </c>
      <c r="C31" s="36">
        <v>16.0</v>
      </c>
      <c r="D31" s="36" t="s">
        <v>32</v>
      </c>
      <c r="E31" s="43">
        <v>20.51</v>
      </c>
      <c r="F31" s="36">
        <v>18.0</v>
      </c>
      <c r="G31" s="44"/>
      <c r="H31" s="35">
        <f t="shared" si="1"/>
        <v>369.18</v>
      </c>
      <c r="I31" s="36"/>
      <c r="J31" s="36">
        <v>8.0</v>
      </c>
      <c r="K31" s="35">
        <f t="shared" si="2"/>
        <v>164.08</v>
      </c>
    </row>
    <row r="32" ht="15.75" customHeight="1">
      <c r="A32" s="36" t="s">
        <v>52</v>
      </c>
      <c r="B32" s="36" t="s">
        <v>53</v>
      </c>
      <c r="C32" s="36">
        <v>3.0</v>
      </c>
      <c r="D32" s="36" t="s">
        <v>32</v>
      </c>
      <c r="E32" s="43">
        <v>31.24</v>
      </c>
      <c r="F32" s="36"/>
      <c r="G32" s="44"/>
      <c r="H32" s="35">
        <f t="shared" si="1"/>
        <v>0</v>
      </c>
      <c r="I32" s="36"/>
      <c r="J32" s="36"/>
      <c r="K32" s="35">
        <f t="shared" si="2"/>
        <v>0</v>
      </c>
    </row>
    <row r="33" ht="15.75" customHeight="1">
      <c r="A33" s="36" t="s">
        <v>54</v>
      </c>
      <c r="B33" s="36" t="s">
        <v>55</v>
      </c>
      <c r="C33" s="36">
        <v>1.0</v>
      </c>
      <c r="D33" s="36" t="s">
        <v>32</v>
      </c>
      <c r="E33" s="43">
        <v>55.01</v>
      </c>
      <c r="F33" s="36"/>
      <c r="G33" s="44"/>
      <c r="H33" s="35">
        <f t="shared" si="1"/>
        <v>0</v>
      </c>
      <c r="I33" s="36"/>
      <c r="J33" s="36"/>
      <c r="K33" s="35">
        <f t="shared" si="2"/>
        <v>0</v>
      </c>
    </row>
    <row r="34" ht="15.75" customHeight="1">
      <c r="A34" s="36" t="s">
        <v>56</v>
      </c>
      <c r="B34" s="36" t="s">
        <v>57</v>
      </c>
      <c r="C34" s="36">
        <v>8.0</v>
      </c>
      <c r="D34" s="36" t="s">
        <v>32</v>
      </c>
      <c r="E34" s="43">
        <v>13.5</v>
      </c>
      <c r="F34" s="36"/>
      <c r="G34" s="44"/>
      <c r="H34" s="35">
        <f t="shared" si="1"/>
        <v>0</v>
      </c>
      <c r="I34" s="36"/>
      <c r="J34" s="36"/>
      <c r="K34" s="35">
        <f t="shared" si="2"/>
        <v>0</v>
      </c>
    </row>
    <row r="35" ht="15.75" customHeight="1">
      <c r="A35" s="36" t="s">
        <v>58</v>
      </c>
      <c r="B35" s="36" t="s">
        <v>59</v>
      </c>
      <c r="C35" s="36">
        <v>8.0</v>
      </c>
      <c r="D35" s="36" t="s">
        <v>32</v>
      </c>
      <c r="E35" s="43">
        <v>164.98</v>
      </c>
      <c r="F35" s="36"/>
      <c r="G35" s="44"/>
      <c r="H35" s="35">
        <f t="shared" si="1"/>
        <v>0</v>
      </c>
      <c r="I35" s="36"/>
      <c r="J35" s="36"/>
      <c r="K35" s="35">
        <f t="shared" si="2"/>
        <v>0</v>
      </c>
    </row>
    <row r="36" ht="15.75" customHeight="1">
      <c r="A36" s="36" t="s">
        <v>60</v>
      </c>
      <c r="B36" s="36" t="s">
        <v>61</v>
      </c>
      <c r="C36" s="36">
        <v>2.0</v>
      </c>
      <c r="D36" s="36" t="s">
        <v>32</v>
      </c>
      <c r="E36" s="43">
        <v>126.56</v>
      </c>
      <c r="F36" s="36"/>
      <c r="G36" s="44"/>
      <c r="H36" s="35">
        <f t="shared" si="1"/>
        <v>0</v>
      </c>
      <c r="I36" s="36"/>
      <c r="J36" s="36"/>
      <c r="K36" s="35">
        <f t="shared" si="2"/>
        <v>0</v>
      </c>
    </row>
    <row r="37" ht="15.75" customHeight="1">
      <c r="A37" s="36" t="s">
        <v>62</v>
      </c>
      <c r="B37" s="36" t="s">
        <v>63</v>
      </c>
      <c r="C37" s="36">
        <v>2.0</v>
      </c>
      <c r="D37" s="36" t="s">
        <v>32</v>
      </c>
      <c r="E37" s="43">
        <v>100.57</v>
      </c>
      <c r="F37" s="36"/>
      <c r="G37" s="44"/>
      <c r="H37" s="35">
        <f t="shared" si="1"/>
        <v>0</v>
      </c>
      <c r="I37" s="36"/>
      <c r="J37" s="36"/>
      <c r="K37" s="35">
        <f t="shared" si="2"/>
        <v>0</v>
      </c>
    </row>
    <row r="38" ht="15.75" customHeight="1">
      <c r="A38" s="36" t="s">
        <v>64</v>
      </c>
      <c r="B38" s="36" t="s">
        <v>65</v>
      </c>
      <c r="C38" s="36">
        <v>2.0</v>
      </c>
      <c r="D38" s="36" t="s">
        <v>32</v>
      </c>
      <c r="E38" s="43">
        <v>55.65</v>
      </c>
      <c r="F38" s="36"/>
      <c r="G38" s="44"/>
      <c r="H38" s="35">
        <f t="shared" si="1"/>
        <v>0</v>
      </c>
      <c r="I38" s="36"/>
      <c r="J38" s="36"/>
      <c r="K38" s="35">
        <f t="shared" si="2"/>
        <v>0</v>
      </c>
    </row>
    <row r="39" ht="15.75" customHeight="1">
      <c r="A39" s="36" t="s">
        <v>66</v>
      </c>
      <c r="B39" s="36" t="s">
        <v>67</v>
      </c>
      <c r="C39" s="36">
        <v>2.0</v>
      </c>
      <c r="D39" s="36" t="s">
        <v>32</v>
      </c>
      <c r="E39" s="43">
        <v>55.65</v>
      </c>
      <c r="F39" s="36">
        <v>5.0</v>
      </c>
      <c r="G39" s="44"/>
      <c r="H39" s="35">
        <f t="shared" si="1"/>
        <v>278.25</v>
      </c>
      <c r="I39" s="36"/>
      <c r="J39" s="36">
        <v>5.0</v>
      </c>
      <c r="K39" s="35">
        <f t="shared" si="2"/>
        <v>278.25</v>
      </c>
    </row>
    <row r="40" ht="15.75" customHeight="1">
      <c r="A40" s="36"/>
      <c r="B40" s="45" t="s">
        <v>68</v>
      </c>
      <c r="C40" s="36"/>
      <c r="D40" s="36"/>
      <c r="E40" s="43"/>
      <c r="F40" s="36"/>
      <c r="G40" s="44"/>
      <c r="H40" s="35">
        <f t="shared" si="1"/>
        <v>0</v>
      </c>
      <c r="I40" s="36"/>
      <c r="J40" s="36"/>
      <c r="K40" s="35">
        <f t="shared" si="2"/>
        <v>0</v>
      </c>
    </row>
    <row r="41" ht="15.75" customHeight="1">
      <c r="A41" s="36" t="s">
        <v>69</v>
      </c>
      <c r="B41" s="36" t="s">
        <v>70</v>
      </c>
      <c r="C41" s="36">
        <v>10.0</v>
      </c>
      <c r="D41" s="36" t="s">
        <v>23</v>
      </c>
      <c r="E41" s="43">
        <v>11.21</v>
      </c>
      <c r="F41" s="36"/>
      <c r="G41" s="44"/>
      <c r="H41" s="35">
        <f t="shared" si="1"/>
        <v>0</v>
      </c>
      <c r="I41" s="36"/>
      <c r="J41" s="36"/>
      <c r="K41" s="35">
        <f t="shared" si="2"/>
        <v>0</v>
      </c>
    </row>
    <row r="42" ht="15.75" customHeight="1">
      <c r="A42" s="36" t="s">
        <v>71</v>
      </c>
      <c r="B42" s="36" t="s">
        <v>72</v>
      </c>
      <c r="C42" s="36">
        <v>12.0</v>
      </c>
      <c r="D42" s="36" t="s">
        <v>32</v>
      </c>
      <c r="E42" s="43">
        <v>49.34</v>
      </c>
      <c r="F42" s="36"/>
      <c r="G42" s="44"/>
      <c r="H42" s="35">
        <f t="shared" si="1"/>
        <v>0</v>
      </c>
      <c r="I42" s="36"/>
      <c r="J42" s="36"/>
      <c r="K42" s="35">
        <f t="shared" si="2"/>
        <v>0</v>
      </c>
    </row>
    <row r="43" ht="15.75" customHeight="1">
      <c r="A43" s="36" t="s">
        <v>73</v>
      </c>
      <c r="B43" s="36" t="s">
        <v>74</v>
      </c>
      <c r="C43" s="36">
        <v>2.0</v>
      </c>
      <c r="D43" s="36" t="s">
        <v>32</v>
      </c>
      <c r="E43" s="43">
        <v>57.72</v>
      </c>
      <c r="F43" s="36"/>
      <c r="G43" s="44"/>
      <c r="H43" s="35">
        <f t="shared" si="1"/>
        <v>0</v>
      </c>
      <c r="I43" s="36"/>
      <c r="J43" s="36"/>
      <c r="K43" s="35">
        <f t="shared" si="2"/>
        <v>0</v>
      </c>
    </row>
    <row r="44" ht="15.75" customHeight="1">
      <c r="A44" s="36" t="s">
        <v>75</v>
      </c>
      <c r="B44" s="36" t="s">
        <v>76</v>
      </c>
      <c r="C44" s="36">
        <v>8.0</v>
      </c>
      <c r="D44" s="36" t="s">
        <v>32</v>
      </c>
      <c r="E44" s="43">
        <v>36.91</v>
      </c>
      <c r="F44" s="36"/>
      <c r="G44" s="44"/>
      <c r="H44" s="35">
        <f t="shared" si="1"/>
        <v>0</v>
      </c>
      <c r="I44" s="36"/>
      <c r="J44" s="36"/>
      <c r="K44" s="35">
        <f t="shared" si="2"/>
        <v>0</v>
      </c>
    </row>
    <row r="45" ht="15.75" customHeight="1">
      <c r="A45" s="36" t="s">
        <v>77</v>
      </c>
      <c r="B45" s="36" t="s">
        <v>78</v>
      </c>
      <c r="C45" s="36">
        <v>4.0</v>
      </c>
      <c r="D45" s="36" t="s">
        <v>32</v>
      </c>
      <c r="E45" s="43">
        <v>68.55</v>
      </c>
      <c r="F45" s="36"/>
      <c r="G45" s="44"/>
      <c r="H45" s="35">
        <f t="shared" si="1"/>
        <v>0</v>
      </c>
      <c r="I45" s="36"/>
      <c r="J45" s="36">
        <v>2.0</v>
      </c>
      <c r="K45" s="35">
        <f t="shared" si="2"/>
        <v>137.1</v>
      </c>
    </row>
    <row r="46" ht="15.75" customHeight="1">
      <c r="A46" s="36" t="s">
        <v>79</v>
      </c>
      <c r="B46" s="36" t="s">
        <v>80</v>
      </c>
      <c r="C46" s="36">
        <v>2.0</v>
      </c>
      <c r="D46" s="36" t="s">
        <v>32</v>
      </c>
      <c r="E46" s="43">
        <v>270.69</v>
      </c>
      <c r="F46" s="36"/>
      <c r="G46" s="44"/>
      <c r="H46" s="35">
        <f t="shared" si="1"/>
        <v>0</v>
      </c>
      <c r="I46" s="36"/>
      <c r="J46" s="36"/>
      <c r="K46" s="35">
        <f t="shared" si="2"/>
        <v>0</v>
      </c>
    </row>
    <row r="47" ht="15.75" customHeight="1">
      <c r="A47" s="36" t="s">
        <v>81</v>
      </c>
      <c r="B47" s="36" t="s">
        <v>82</v>
      </c>
      <c r="C47" s="36">
        <v>2.0</v>
      </c>
      <c r="D47" s="36" t="s">
        <v>32</v>
      </c>
      <c r="E47" s="43">
        <v>38.7</v>
      </c>
      <c r="F47" s="36"/>
      <c r="G47" s="44"/>
      <c r="H47" s="35">
        <f t="shared" si="1"/>
        <v>0</v>
      </c>
      <c r="I47" s="36"/>
      <c r="J47" s="36"/>
      <c r="K47" s="35">
        <f t="shared" si="2"/>
        <v>0</v>
      </c>
    </row>
    <row r="48" ht="15.75" customHeight="1">
      <c r="A48" s="36"/>
      <c r="B48" s="45" t="s">
        <v>83</v>
      </c>
      <c r="C48" s="36"/>
      <c r="D48" s="36"/>
      <c r="E48" s="43"/>
      <c r="F48" s="36"/>
      <c r="G48" s="44"/>
      <c r="H48" s="35">
        <f t="shared" si="1"/>
        <v>0</v>
      </c>
      <c r="I48" s="36"/>
      <c r="J48" s="36"/>
      <c r="K48" s="35">
        <f t="shared" si="2"/>
        <v>0</v>
      </c>
    </row>
    <row r="49" ht="15.75" customHeight="1">
      <c r="A49" s="36" t="s">
        <v>84</v>
      </c>
      <c r="B49" s="36" t="s">
        <v>85</v>
      </c>
      <c r="C49" s="36">
        <v>6.0</v>
      </c>
      <c r="D49" s="36" t="s">
        <v>23</v>
      </c>
      <c r="E49" s="43">
        <v>22.04</v>
      </c>
      <c r="F49" s="36"/>
      <c r="G49" s="44"/>
      <c r="H49" s="35">
        <f t="shared" si="1"/>
        <v>0</v>
      </c>
      <c r="I49" s="36"/>
      <c r="J49" s="36"/>
      <c r="K49" s="35">
        <f t="shared" si="2"/>
        <v>0</v>
      </c>
    </row>
    <row r="50" ht="15.75" customHeight="1">
      <c r="A50" s="36" t="s">
        <v>86</v>
      </c>
      <c r="B50" s="36" t="s">
        <v>87</v>
      </c>
      <c r="C50" s="36">
        <v>35.0</v>
      </c>
      <c r="D50" s="36" t="s">
        <v>23</v>
      </c>
      <c r="E50" s="43">
        <v>18.79</v>
      </c>
      <c r="F50" s="36"/>
      <c r="G50" s="44"/>
      <c r="H50" s="35">
        <f t="shared" si="1"/>
        <v>0</v>
      </c>
      <c r="I50" s="36"/>
      <c r="J50" s="36"/>
      <c r="K50" s="35">
        <f t="shared" si="2"/>
        <v>0</v>
      </c>
    </row>
    <row r="51" ht="15.75" customHeight="1">
      <c r="A51" s="36" t="s">
        <v>88</v>
      </c>
      <c r="B51" s="36" t="s">
        <v>89</v>
      </c>
      <c r="C51" s="36">
        <v>6.0</v>
      </c>
      <c r="D51" s="36" t="s">
        <v>23</v>
      </c>
      <c r="E51" s="43">
        <v>14.69</v>
      </c>
      <c r="F51" s="36"/>
      <c r="G51" s="44"/>
      <c r="H51" s="35">
        <f t="shared" si="1"/>
        <v>0</v>
      </c>
      <c r="I51" s="36"/>
      <c r="J51" s="36"/>
      <c r="K51" s="35">
        <f t="shared" si="2"/>
        <v>0</v>
      </c>
    </row>
    <row r="52" ht="15.75" customHeight="1">
      <c r="A52" s="36" t="s">
        <v>90</v>
      </c>
      <c r="B52" s="36" t="s">
        <v>91</v>
      </c>
      <c r="C52" s="36">
        <v>20.0</v>
      </c>
      <c r="D52" s="36" t="s">
        <v>23</v>
      </c>
      <c r="E52" s="43">
        <v>5.04</v>
      </c>
      <c r="F52" s="36"/>
      <c r="G52" s="44"/>
      <c r="H52" s="35">
        <f t="shared" si="1"/>
        <v>0</v>
      </c>
      <c r="I52" s="36"/>
      <c r="J52" s="36"/>
      <c r="K52" s="35">
        <f t="shared" si="2"/>
        <v>0</v>
      </c>
    </row>
    <row r="53" ht="15.75" customHeight="1">
      <c r="A53" s="36" t="s">
        <v>92</v>
      </c>
      <c r="B53" s="36" t="s">
        <v>93</v>
      </c>
      <c r="C53" s="36">
        <v>6.0</v>
      </c>
      <c r="D53" s="36" t="s">
        <v>23</v>
      </c>
      <c r="E53" s="43">
        <v>4.63</v>
      </c>
      <c r="F53" s="36"/>
      <c r="G53" s="44"/>
      <c r="H53" s="35">
        <f t="shared" si="1"/>
        <v>0</v>
      </c>
      <c r="I53" s="36"/>
      <c r="J53" s="36"/>
      <c r="K53" s="35">
        <f t="shared" si="2"/>
        <v>0</v>
      </c>
    </row>
    <row r="54" ht="15.75" customHeight="1">
      <c r="A54" s="36" t="s">
        <v>94</v>
      </c>
      <c r="B54" s="36" t="s">
        <v>95</v>
      </c>
      <c r="C54" s="36">
        <v>10.0</v>
      </c>
      <c r="D54" s="36" t="s">
        <v>23</v>
      </c>
      <c r="E54" s="43">
        <v>4.26</v>
      </c>
      <c r="F54" s="36"/>
      <c r="G54" s="44"/>
      <c r="H54" s="35">
        <f t="shared" si="1"/>
        <v>0</v>
      </c>
      <c r="I54" s="36"/>
      <c r="J54" s="36"/>
      <c r="K54" s="35">
        <f t="shared" si="2"/>
        <v>0</v>
      </c>
    </row>
    <row r="55" ht="15.75" customHeight="1">
      <c r="A55" s="36"/>
      <c r="B55" s="45" t="s">
        <v>96</v>
      </c>
      <c r="C55" s="36"/>
      <c r="D55" s="36"/>
      <c r="E55" s="43"/>
      <c r="F55" s="36"/>
      <c r="G55" s="44"/>
      <c r="H55" s="35">
        <f t="shared" si="1"/>
        <v>0</v>
      </c>
      <c r="I55" s="36"/>
      <c r="J55" s="36"/>
      <c r="K55" s="35">
        <f t="shared" si="2"/>
        <v>0</v>
      </c>
    </row>
    <row r="56" ht="15.75" customHeight="1">
      <c r="A56" s="36" t="s">
        <v>97</v>
      </c>
      <c r="B56" s="36" t="s">
        <v>98</v>
      </c>
      <c r="C56" s="36">
        <v>1.0</v>
      </c>
      <c r="D56" s="36" t="s">
        <v>32</v>
      </c>
      <c r="E56" s="43">
        <v>2308.56</v>
      </c>
      <c r="F56" s="36">
        <v>1.0</v>
      </c>
      <c r="G56" s="44"/>
      <c r="H56" s="35">
        <f t="shared" si="1"/>
        <v>2308.56</v>
      </c>
      <c r="I56" s="36"/>
      <c r="J56" s="36">
        <v>1.0</v>
      </c>
      <c r="K56" s="35">
        <f t="shared" si="2"/>
        <v>2308.56</v>
      </c>
    </row>
    <row r="57" ht="15.75" customHeight="1">
      <c r="A57" s="36" t="s">
        <v>99</v>
      </c>
      <c r="B57" s="36" t="s">
        <v>100</v>
      </c>
      <c r="C57" s="36">
        <v>2.0</v>
      </c>
      <c r="D57" s="36" t="s">
        <v>32</v>
      </c>
      <c r="E57" s="43">
        <v>508.24</v>
      </c>
      <c r="F57" s="36">
        <v>2.0</v>
      </c>
      <c r="G57" s="44"/>
      <c r="H57" s="35">
        <f t="shared" si="1"/>
        <v>1016.48</v>
      </c>
      <c r="I57" s="36"/>
      <c r="J57" s="36">
        <v>2.0</v>
      </c>
      <c r="K57" s="35">
        <f t="shared" si="2"/>
        <v>1016.48</v>
      </c>
    </row>
    <row r="58" ht="15.75" customHeight="1">
      <c r="A58" s="36" t="s">
        <v>101</v>
      </c>
      <c r="B58" s="36" t="s">
        <v>102</v>
      </c>
      <c r="C58" s="36">
        <v>1.0</v>
      </c>
      <c r="D58" s="36" t="s">
        <v>32</v>
      </c>
      <c r="E58" s="43">
        <v>833.18</v>
      </c>
      <c r="F58" s="36">
        <v>1.0</v>
      </c>
      <c r="G58" s="44"/>
      <c r="H58" s="35">
        <f t="shared" si="1"/>
        <v>833.18</v>
      </c>
      <c r="I58" s="36"/>
      <c r="J58" s="36">
        <v>1.0</v>
      </c>
      <c r="K58" s="35">
        <f t="shared" si="2"/>
        <v>833.18</v>
      </c>
    </row>
    <row r="59" ht="15.75" customHeight="1">
      <c r="A59" s="36"/>
      <c r="B59" s="36" t="s">
        <v>103</v>
      </c>
      <c r="C59" s="36"/>
      <c r="D59" s="36"/>
      <c r="E59" s="43"/>
      <c r="F59" s="36"/>
      <c r="G59" s="44"/>
      <c r="H59" s="35">
        <f t="shared" si="1"/>
        <v>0</v>
      </c>
      <c r="I59" s="36"/>
      <c r="J59" s="36"/>
      <c r="K59" s="35">
        <f t="shared" si="2"/>
        <v>0</v>
      </c>
    </row>
    <row r="60" ht="15.75" customHeight="1">
      <c r="A60" s="36" t="s">
        <v>104</v>
      </c>
      <c r="B60" s="36" t="s">
        <v>105</v>
      </c>
      <c r="C60" s="36">
        <v>1.0</v>
      </c>
      <c r="D60" s="36" t="s">
        <v>32</v>
      </c>
      <c r="E60" s="43">
        <v>1849.78</v>
      </c>
      <c r="F60" s="36"/>
      <c r="G60" s="44"/>
      <c r="H60" s="35">
        <f t="shared" si="1"/>
        <v>0</v>
      </c>
      <c r="I60" s="36"/>
      <c r="J60" s="36"/>
      <c r="K60" s="35">
        <f t="shared" si="2"/>
        <v>0</v>
      </c>
    </row>
    <row r="61" ht="15.75" customHeight="1">
      <c r="A61" s="36" t="s">
        <v>106</v>
      </c>
      <c r="B61" s="36" t="s">
        <v>100</v>
      </c>
      <c r="C61" s="36">
        <v>1.0</v>
      </c>
      <c r="D61" s="36" t="s">
        <v>32</v>
      </c>
      <c r="E61" s="43">
        <v>508.24</v>
      </c>
      <c r="F61" s="36"/>
      <c r="G61" s="44"/>
      <c r="H61" s="35">
        <f t="shared" si="1"/>
        <v>0</v>
      </c>
      <c r="I61" s="36"/>
      <c r="J61" s="36"/>
      <c r="K61" s="35">
        <f t="shared" si="2"/>
        <v>0</v>
      </c>
    </row>
    <row r="62" ht="15.75" customHeight="1">
      <c r="A62" s="36" t="s">
        <v>107</v>
      </c>
      <c r="B62" s="36" t="s">
        <v>102</v>
      </c>
      <c r="C62" s="36">
        <v>1.0</v>
      </c>
      <c r="D62" s="36" t="s">
        <v>32</v>
      </c>
      <c r="E62" s="43">
        <v>676.11</v>
      </c>
      <c r="F62" s="36"/>
      <c r="G62" s="44"/>
      <c r="H62" s="35">
        <f t="shared" si="1"/>
        <v>0</v>
      </c>
      <c r="I62" s="36"/>
      <c r="J62" s="36"/>
      <c r="K62" s="35">
        <f t="shared" si="2"/>
        <v>0</v>
      </c>
    </row>
    <row r="63" ht="15.75" customHeight="1">
      <c r="A63" s="36"/>
      <c r="B63" s="45" t="s">
        <v>108</v>
      </c>
      <c r="C63" s="36"/>
      <c r="D63" s="36"/>
      <c r="E63" s="43"/>
      <c r="F63" s="36"/>
      <c r="G63" s="44"/>
      <c r="H63" s="35">
        <f t="shared" si="1"/>
        <v>0</v>
      </c>
      <c r="I63" s="36"/>
      <c r="J63" s="36"/>
      <c r="K63" s="35">
        <f t="shared" si="2"/>
        <v>0</v>
      </c>
    </row>
    <row r="64" ht="15.75" customHeight="1">
      <c r="A64" s="36" t="s">
        <v>109</v>
      </c>
      <c r="B64" s="36" t="s">
        <v>110</v>
      </c>
      <c r="C64" s="36">
        <v>12.0</v>
      </c>
      <c r="D64" s="36" t="s">
        <v>32</v>
      </c>
      <c r="E64" s="43">
        <v>17.14</v>
      </c>
      <c r="F64" s="36">
        <v>10.0</v>
      </c>
      <c r="G64" s="44"/>
      <c r="H64" s="35">
        <f t="shared" si="1"/>
        <v>171.4</v>
      </c>
      <c r="I64" s="36"/>
      <c r="J64" s="36"/>
      <c r="K64" s="35">
        <f t="shared" si="2"/>
        <v>0</v>
      </c>
    </row>
    <row r="65" ht="15.75" customHeight="1">
      <c r="A65" s="36" t="s">
        <v>111</v>
      </c>
      <c r="B65" s="36" t="s">
        <v>112</v>
      </c>
      <c r="C65" s="36">
        <v>65.0</v>
      </c>
      <c r="D65" s="36" t="s">
        <v>32</v>
      </c>
      <c r="E65" s="43">
        <v>12.99</v>
      </c>
      <c r="F65" s="36">
        <v>100.0</v>
      </c>
      <c r="G65" s="44"/>
      <c r="H65" s="35">
        <f t="shared" si="1"/>
        <v>1299</v>
      </c>
      <c r="I65" s="36"/>
      <c r="J65" s="36">
        <v>76.0</v>
      </c>
      <c r="K65" s="35">
        <f t="shared" si="2"/>
        <v>987.24</v>
      </c>
    </row>
    <row r="66" ht="15.75" customHeight="1">
      <c r="A66" s="36" t="s">
        <v>113</v>
      </c>
      <c r="B66" s="36" t="s">
        <v>114</v>
      </c>
      <c r="C66" s="36">
        <v>10.0</v>
      </c>
      <c r="D66" s="36" t="s">
        <v>32</v>
      </c>
      <c r="E66" s="43">
        <v>12.2</v>
      </c>
      <c r="F66" s="36">
        <v>50.0</v>
      </c>
      <c r="G66" s="44"/>
      <c r="H66" s="35">
        <f t="shared" si="1"/>
        <v>610</v>
      </c>
      <c r="I66" s="36"/>
      <c r="J66" s="36">
        <v>15.0</v>
      </c>
      <c r="K66" s="35">
        <f t="shared" si="2"/>
        <v>183</v>
      </c>
    </row>
    <row r="67" ht="15.75" customHeight="1">
      <c r="A67" s="36" t="s">
        <v>115</v>
      </c>
      <c r="B67" s="36" t="s">
        <v>116</v>
      </c>
      <c r="C67" s="36">
        <v>22.0</v>
      </c>
      <c r="D67" s="36" t="s">
        <v>32</v>
      </c>
      <c r="E67" s="43">
        <v>11.75</v>
      </c>
      <c r="F67" s="36">
        <v>50.0</v>
      </c>
      <c r="G67" s="44"/>
      <c r="H67" s="35">
        <f t="shared" si="1"/>
        <v>587.5</v>
      </c>
      <c r="I67" s="36"/>
      <c r="J67" s="36">
        <v>30.0</v>
      </c>
      <c r="K67" s="35">
        <f t="shared" si="2"/>
        <v>352.5</v>
      </c>
    </row>
    <row r="68" ht="15.75" customHeight="1">
      <c r="A68" s="36" t="s">
        <v>117</v>
      </c>
      <c r="B68" s="36" t="s">
        <v>118</v>
      </c>
      <c r="C68" s="36">
        <v>200.0</v>
      </c>
      <c r="D68" s="36" t="s">
        <v>119</v>
      </c>
      <c r="E68" s="43">
        <v>18.23</v>
      </c>
      <c r="F68" s="36"/>
      <c r="G68" s="44"/>
      <c r="H68" s="35">
        <f t="shared" si="1"/>
        <v>0</v>
      </c>
      <c r="I68" s="36"/>
      <c r="J68" s="36">
        <v>5.0</v>
      </c>
      <c r="K68" s="35">
        <f t="shared" si="2"/>
        <v>91.15</v>
      </c>
    </row>
    <row r="69" ht="15.75" customHeight="1">
      <c r="A69" s="36"/>
      <c r="B69" s="45" t="s">
        <v>120</v>
      </c>
      <c r="C69" s="36"/>
      <c r="D69" s="36"/>
      <c r="E69" s="43"/>
      <c r="F69" s="36"/>
      <c r="G69" s="44"/>
      <c r="H69" s="35">
        <f t="shared" si="1"/>
        <v>0</v>
      </c>
      <c r="I69" s="36"/>
      <c r="J69" s="36"/>
      <c r="K69" s="35">
        <f t="shared" si="2"/>
        <v>0</v>
      </c>
    </row>
    <row r="70" ht="15.75" customHeight="1">
      <c r="A70" s="36"/>
      <c r="B70" s="45" t="s">
        <v>121</v>
      </c>
      <c r="C70" s="36"/>
      <c r="D70" s="36"/>
      <c r="E70" s="43"/>
      <c r="F70" s="36"/>
      <c r="G70" s="44"/>
      <c r="H70" s="35">
        <f t="shared" si="1"/>
        <v>0</v>
      </c>
      <c r="I70" s="36"/>
      <c r="J70" s="36"/>
      <c r="K70" s="35">
        <f t="shared" si="2"/>
        <v>0</v>
      </c>
    </row>
    <row r="71" ht="15.75" customHeight="1">
      <c r="A71" s="36" t="s">
        <v>122</v>
      </c>
      <c r="B71" s="36" t="s">
        <v>123</v>
      </c>
      <c r="C71" s="36">
        <v>3.0</v>
      </c>
      <c r="D71" s="36" t="s">
        <v>32</v>
      </c>
      <c r="E71" s="43">
        <v>204.16</v>
      </c>
      <c r="F71" s="36">
        <v>2.0</v>
      </c>
      <c r="G71" s="44"/>
      <c r="H71" s="35">
        <f t="shared" si="1"/>
        <v>408.32</v>
      </c>
      <c r="I71" s="36"/>
      <c r="J71" s="36">
        <v>2.0</v>
      </c>
      <c r="K71" s="35">
        <f t="shared" si="2"/>
        <v>408.32</v>
      </c>
    </row>
    <row r="72" ht="15.75" customHeight="1">
      <c r="A72" s="36" t="s">
        <v>124</v>
      </c>
      <c r="B72" s="36" t="s">
        <v>125</v>
      </c>
      <c r="C72" s="36">
        <v>2.0</v>
      </c>
      <c r="D72" s="36" t="s">
        <v>32</v>
      </c>
      <c r="E72" s="43">
        <v>235.14</v>
      </c>
      <c r="F72" s="36">
        <v>3.0</v>
      </c>
      <c r="G72" s="44"/>
      <c r="H72" s="35">
        <f t="shared" si="1"/>
        <v>705.42</v>
      </c>
      <c r="I72" s="36"/>
      <c r="J72" s="36">
        <v>3.0</v>
      </c>
      <c r="K72" s="35">
        <f t="shared" si="2"/>
        <v>705.42</v>
      </c>
    </row>
    <row r="73" ht="15.75" customHeight="1">
      <c r="A73" s="36" t="s">
        <v>126</v>
      </c>
      <c r="B73" s="36" t="s">
        <v>127</v>
      </c>
      <c r="C73" s="36">
        <v>2.0</v>
      </c>
      <c r="D73" s="36" t="s">
        <v>32</v>
      </c>
      <c r="E73" s="43">
        <v>285.47</v>
      </c>
      <c r="F73" s="36">
        <v>3.0</v>
      </c>
      <c r="G73" s="44"/>
      <c r="H73" s="35">
        <f t="shared" si="1"/>
        <v>856.41</v>
      </c>
      <c r="I73" s="36"/>
      <c r="J73" s="36">
        <v>3.0</v>
      </c>
      <c r="K73" s="35">
        <f t="shared" si="2"/>
        <v>856.41</v>
      </c>
    </row>
    <row r="74" ht="15.75" customHeight="1">
      <c r="A74" s="36" t="s">
        <v>128</v>
      </c>
      <c r="B74" s="36" t="s">
        <v>129</v>
      </c>
      <c r="C74" s="36">
        <v>4.0</v>
      </c>
      <c r="D74" s="36" t="s">
        <v>32</v>
      </c>
      <c r="E74" s="43">
        <v>357.66</v>
      </c>
      <c r="F74" s="36">
        <v>2.0</v>
      </c>
      <c r="G74" s="44"/>
      <c r="H74" s="35">
        <f t="shared" si="1"/>
        <v>715.32</v>
      </c>
      <c r="I74" s="36"/>
      <c r="J74" s="36">
        <v>2.0</v>
      </c>
      <c r="K74" s="35">
        <f t="shared" si="2"/>
        <v>715.32</v>
      </c>
    </row>
    <row r="75" ht="15.75" customHeight="1">
      <c r="A75" s="36" t="s">
        <v>130</v>
      </c>
      <c r="B75" s="36" t="s">
        <v>131</v>
      </c>
      <c r="C75" s="36">
        <v>6.0</v>
      </c>
      <c r="D75" s="36" t="s">
        <v>32</v>
      </c>
      <c r="E75" s="43">
        <v>411.6</v>
      </c>
      <c r="F75" s="36"/>
      <c r="G75" s="44"/>
      <c r="H75" s="35">
        <f t="shared" si="1"/>
        <v>0</v>
      </c>
      <c r="I75" s="36"/>
      <c r="J75" s="36"/>
      <c r="K75" s="35">
        <f t="shared" si="2"/>
        <v>0</v>
      </c>
    </row>
    <row r="76" ht="15.75" customHeight="1">
      <c r="A76" s="36" t="s">
        <v>132</v>
      </c>
      <c r="B76" s="36" t="s">
        <v>133</v>
      </c>
      <c r="C76" s="36">
        <v>2.0</v>
      </c>
      <c r="D76" s="36" t="s">
        <v>32</v>
      </c>
      <c r="E76" s="43">
        <v>559.97</v>
      </c>
      <c r="F76" s="36"/>
      <c r="G76" s="44"/>
      <c r="H76" s="35">
        <f t="shared" si="1"/>
        <v>0</v>
      </c>
      <c r="I76" s="36"/>
      <c r="J76" s="36"/>
      <c r="K76" s="35">
        <f t="shared" si="2"/>
        <v>0</v>
      </c>
    </row>
    <row r="77" ht="15.75" customHeight="1">
      <c r="A77" s="36" t="s">
        <v>134</v>
      </c>
      <c r="B77" s="36" t="s">
        <v>135</v>
      </c>
      <c r="C77" s="36">
        <v>4.0</v>
      </c>
      <c r="D77" s="36" t="s">
        <v>32</v>
      </c>
      <c r="E77" s="43">
        <v>1370.21</v>
      </c>
      <c r="F77" s="36"/>
      <c r="G77" s="44"/>
      <c r="H77" s="35">
        <f t="shared" si="1"/>
        <v>0</v>
      </c>
      <c r="I77" s="36"/>
      <c r="J77" s="36"/>
      <c r="K77" s="35">
        <f t="shared" si="2"/>
        <v>0</v>
      </c>
    </row>
    <row r="78" ht="15.75" customHeight="1">
      <c r="A78" s="36" t="s">
        <v>136</v>
      </c>
      <c r="B78" s="36" t="s">
        <v>137</v>
      </c>
      <c r="C78" s="36">
        <v>2.0</v>
      </c>
      <c r="D78" s="36" t="s">
        <v>32</v>
      </c>
      <c r="E78" s="43">
        <v>1187.81</v>
      </c>
      <c r="F78" s="36"/>
      <c r="G78" s="44"/>
      <c r="H78" s="35">
        <f t="shared" si="1"/>
        <v>0</v>
      </c>
      <c r="I78" s="36"/>
      <c r="J78" s="36"/>
      <c r="K78" s="35">
        <f t="shared" si="2"/>
        <v>0</v>
      </c>
    </row>
    <row r="79" ht="15.75" customHeight="1">
      <c r="A79" s="36" t="s">
        <v>138</v>
      </c>
      <c r="B79" s="36" t="s">
        <v>139</v>
      </c>
      <c r="C79" s="36">
        <v>1.0</v>
      </c>
      <c r="D79" s="36" t="s">
        <v>32</v>
      </c>
      <c r="E79" s="43">
        <v>1370.21</v>
      </c>
      <c r="F79" s="36"/>
      <c r="G79" s="44"/>
      <c r="H79" s="35">
        <f t="shared" si="1"/>
        <v>0</v>
      </c>
      <c r="I79" s="36"/>
      <c r="J79" s="36"/>
      <c r="K79" s="35">
        <f t="shared" si="2"/>
        <v>0</v>
      </c>
    </row>
    <row r="80" ht="15.75" customHeight="1">
      <c r="A80" s="36" t="s">
        <v>140</v>
      </c>
      <c r="B80" s="36" t="s">
        <v>141</v>
      </c>
      <c r="C80" s="36">
        <v>1.0</v>
      </c>
      <c r="D80" s="36" t="s">
        <v>32</v>
      </c>
      <c r="E80" s="43">
        <v>2384.85</v>
      </c>
      <c r="F80" s="36"/>
      <c r="G80" s="44"/>
      <c r="H80" s="35">
        <f t="shared" si="1"/>
        <v>0</v>
      </c>
      <c r="I80" s="36"/>
      <c r="J80" s="36"/>
      <c r="K80" s="35">
        <f t="shared" si="2"/>
        <v>0</v>
      </c>
    </row>
    <row r="81" ht="15.75" customHeight="1">
      <c r="A81" s="36" t="s">
        <v>142</v>
      </c>
      <c r="B81" s="36" t="s">
        <v>143</v>
      </c>
      <c r="C81" s="36">
        <v>6.0</v>
      </c>
      <c r="D81" s="36" t="s">
        <v>32</v>
      </c>
      <c r="E81" s="43">
        <v>24.47</v>
      </c>
      <c r="F81" s="36"/>
      <c r="G81" s="44"/>
      <c r="H81" s="35">
        <f t="shared" si="1"/>
        <v>0</v>
      </c>
      <c r="I81" s="36"/>
      <c r="J81" s="36"/>
      <c r="K81" s="35">
        <f t="shared" si="2"/>
        <v>0</v>
      </c>
    </row>
    <row r="82" ht="15.75" customHeight="1">
      <c r="A82" s="36" t="s">
        <v>144</v>
      </c>
      <c r="B82" s="36" t="s">
        <v>145</v>
      </c>
      <c r="C82" s="36">
        <v>5.0</v>
      </c>
      <c r="D82" s="36" t="s">
        <v>32</v>
      </c>
      <c r="E82" s="43">
        <v>85.5</v>
      </c>
      <c r="F82" s="36"/>
      <c r="G82" s="44"/>
      <c r="H82" s="35">
        <f t="shared" si="1"/>
        <v>0</v>
      </c>
      <c r="I82" s="36"/>
      <c r="J82" s="36"/>
      <c r="K82" s="35">
        <f t="shared" si="2"/>
        <v>0</v>
      </c>
    </row>
    <row r="83" ht="15.75" customHeight="1">
      <c r="A83" s="36" t="s">
        <v>146</v>
      </c>
      <c r="B83" s="36" t="s">
        <v>147</v>
      </c>
      <c r="C83" s="36">
        <v>2.0</v>
      </c>
      <c r="D83" s="36" t="s">
        <v>32</v>
      </c>
      <c r="E83" s="43">
        <v>475.55</v>
      </c>
      <c r="F83" s="36"/>
      <c r="G83" s="44"/>
      <c r="H83" s="35">
        <f t="shared" si="1"/>
        <v>0</v>
      </c>
      <c r="I83" s="36"/>
      <c r="J83" s="36"/>
      <c r="K83" s="35">
        <f t="shared" si="2"/>
        <v>0</v>
      </c>
    </row>
    <row r="84" ht="15.75" customHeight="1">
      <c r="A84" s="36" t="s">
        <v>148</v>
      </c>
      <c r="B84" s="36" t="s">
        <v>149</v>
      </c>
      <c r="C84" s="36">
        <v>2.0</v>
      </c>
      <c r="D84" s="36" t="s">
        <v>32</v>
      </c>
      <c r="E84" s="43">
        <v>159.8</v>
      </c>
      <c r="F84" s="36">
        <v>6.0</v>
      </c>
      <c r="G84" s="44"/>
      <c r="H84" s="35">
        <f t="shared" si="1"/>
        <v>958.8</v>
      </c>
      <c r="I84" s="36" t="s">
        <v>150</v>
      </c>
      <c r="J84" s="36">
        <v>5.0</v>
      </c>
      <c r="K84" s="35">
        <f t="shared" si="2"/>
        <v>799</v>
      </c>
    </row>
    <row r="85" ht="15.75" customHeight="1">
      <c r="A85" s="36" t="s">
        <v>151</v>
      </c>
      <c r="B85" s="36" t="s">
        <v>152</v>
      </c>
      <c r="C85" s="36">
        <v>1.0</v>
      </c>
      <c r="D85" s="36" t="s">
        <v>32</v>
      </c>
      <c r="E85" s="43">
        <v>4823.23</v>
      </c>
      <c r="F85" s="36">
        <v>1.0</v>
      </c>
      <c r="G85" s="44" t="s">
        <v>153</v>
      </c>
      <c r="H85" s="35">
        <f t="shared" si="1"/>
        <v>0</v>
      </c>
      <c r="I85" s="36" t="s">
        <v>154</v>
      </c>
      <c r="J85" s="36"/>
      <c r="K85" s="35">
        <f t="shared" si="2"/>
        <v>0</v>
      </c>
    </row>
    <row r="86" ht="15.75" customHeight="1">
      <c r="A86" s="36"/>
      <c r="B86" s="45" t="s">
        <v>155</v>
      </c>
      <c r="C86" s="36"/>
      <c r="D86" s="36"/>
      <c r="E86" s="43"/>
      <c r="F86" s="36"/>
      <c r="G86" s="44"/>
      <c r="H86" s="35">
        <f t="shared" si="1"/>
        <v>0</v>
      </c>
      <c r="I86" s="36"/>
      <c r="J86" s="36"/>
      <c r="K86" s="35">
        <f t="shared" si="2"/>
        <v>0</v>
      </c>
    </row>
    <row r="87" ht="15.75" customHeight="1">
      <c r="A87" s="36"/>
      <c r="B87" s="45" t="s">
        <v>156</v>
      </c>
      <c r="C87" s="36"/>
      <c r="D87" s="36"/>
      <c r="E87" s="43"/>
      <c r="F87" s="36"/>
      <c r="G87" s="44"/>
      <c r="H87" s="35">
        <f t="shared" si="1"/>
        <v>0</v>
      </c>
      <c r="I87" s="36"/>
      <c r="J87" s="36"/>
      <c r="K87" s="35">
        <f t="shared" si="2"/>
        <v>0</v>
      </c>
    </row>
    <row r="88" ht="15.75" customHeight="1">
      <c r="A88" s="36" t="s">
        <v>157</v>
      </c>
      <c r="B88" s="36" t="s">
        <v>158</v>
      </c>
      <c r="C88" s="36">
        <v>2.0</v>
      </c>
      <c r="D88" s="36" t="s">
        <v>32</v>
      </c>
      <c r="E88" s="43">
        <v>509.96</v>
      </c>
      <c r="F88" s="36"/>
      <c r="G88" s="44"/>
      <c r="H88" s="35">
        <f t="shared" si="1"/>
        <v>0</v>
      </c>
      <c r="I88" s="36"/>
      <c r="J88" s="36"/>
      <c r="K88" s="35">
        <f t="shared" si="2"/>
        <v>0</v>
      </c>
    </row>
    <row r="89" ht="15.75" customHeight="1">
      <c r="A89" s="36" t="s">
        <v>159</v>
      </c>
      <c r="B89" s="36" t="s">
        <v>160</v>
      </c>
      <c r="C89" s="36">
        <v>4.0</v>
      </c>
      <c r="D89" s="36" t="s">
        <v>32</v>
      </c>
      <c r="E89" s="43">
        <v>633.59</v>
      </c>
      <c r="F89" s="36"/>
      <c r="G89" s="44"/>
      <c r="H89" s="35">
        <f t="shared" si="1"/>
        <v>0</v>
      </c>
      <c r="I89" s="36"/>
      <c r="J89" s="36"/>
      <c r="K89" s="35">
        <f t="shared" si="2"/>
        <v>0</v>
      </c>
    </row>
    <row r="90" ht="15.75" customHeight="1">
      <c r="A90" s="36" t="s">
        <v>161</v>
      </c>
      <c r="B90" s="36" t="s">
        <v>162</v>
      </c>
      <c r="C90" s="36">
        <v>10.0</v>
      </c>
      <c r="D90" s="36" t="s">
        <v>32</v>
      </c>
      <c r="E90" s="43">
        <v>6.29</v>
      </c>
      <c r="F90" s="36"/>
      <c r="G90" s="44"/>
      <c r="H90" s="35">
        <f t="shared" si="1"/>
        <v>0</v>
      </c>
      <c r="I90" s="36"/>
      <c r="J90" s="36"/>
      <c r="K90" s="35">
        <f t="shared" si="2"/>
        <v>0</v>
      </c>
    </row>
    <row r="91" ht="15.75" customHeight="1">
      <c r="A91" s="36" t="s">
        <v>163</v>
      </c>
      <c r="B91" s="36" t="s">
        <v>164</v>
      </c>
      <c r="C91" s="36">
        <v>10.0</v>
      </c>
      <c r="D91" s="36" t="s">
        <v>32</v>
      </c>
      <c r="E91" s="43">
        <v>21.45</v>
      </c>
      <c r="F91" s="36"/>
      <c r="G91" s="44"/>
      <c r="H91" s="35">
        <f t="shared" si="1"/>
        <v>0</v>
      </c>
      <c r="I91" s="36"/>
      <c r="J91" s="36"/>
      <c r="K91" s="35">
        <f t="shared" si="2"/>
        <v>0</v>
      </c>
    </row>
    <row r="92" ht="15.75" customHeight="1">
      <c r="A92" s="36"/>
      <c r="B92" s="45" t="s">
        <v>165</v>
      </c>
      <c r="C92" s="36"/>
      <c r="D92" s="36"/>
      <c r="E92" s="43"/>
      <c r="F92" s="36"/>
      <c r="G92" s="44"/>
      <c r="H92" s="35">
        <f t="shared" si="1"/>
        <v>0</v>
      </c>
      <c r="I92" s="36"/>
      <c r="J92" s="36"/>
      <c r="K92" s="35">
        <f t="shared" si="2"/>
        <v>0</v>
      </c>
    </row>
    <row r="93" ht="15.75" customHeight="1">
      <c r="A93" s="46" t="s">
        <v>166</v>
      </c>
      <c r="B93" s="46" t="s">
        <v>167</v>
      </c>
      <c r="C93" s="46"/>
      <c r="D93" s="46" t="s">
        <v>23</v>
      </c>
      <c r="E93" s="47">
        <v>17.5</v>
      </c>
      <c r="F93" s="46">
        <v>72.0</v>
      </c>
      <c r="G93" s="48"/>
      <c r="H93" s="49">
        <f t="shared" si="1"/>
        <v>1260</v>
      </c>
      <c r="I93" s="46" t="s">
        <v>168</v>
      </c>
      <c r="J93" s="46">
        <v>18.0</v>
      </c>
      <c r="K93" s="49">
        <f t="shared" si="2"/>
        <v>315</v>
      </c>
      <c r="L93" s="50" t="s">
        <v>153</v>
      </c>
    </row>
    <row r="94" ht="15.75" customHeight="1">
      <c r="A94" s="36" t="s">
        <v>169</v>
      </c>
      <c r="B94" s="36" t="s">
        <v>170</v>
      </c>
      <c r="C94" s="36">
        <v>25.0</v>
      </c>
      <c r="D94" s="36" t="s">
        <v>23</v>
      </c>
      <c r="E94" s="43">
        <v>18.74</v>
      </c>
      <c r="F94" s="36">
        <v>66.0</v>
      </c>
      <c r="G94" s="44"/>
      <c r="H94" s="35">
        <f t="shared" si="1"/>
        <v>1236.84</v>
      </c>
      <c r="I94" s="36"/>
      <c r="J94" s="36">
        <v>52.0</v>
      </c>
      <c r="K94" s="35">
        <f t="shared" si="2"/>
        <v>974.48</v>
      </c>
    </row>
    <row r="95" ht="15.75" customHeight="1">
      <c r="A95" s="36" t="s">
        <v>171</v>
      </c>
      <c r="B95" s="36" t="s">
        <v>172</v>
      </c>
      <c r="C95" s="36">
        <v>25.0</v>
      </c>
      <c r="D95" s="36" t="s">
        <v>23</v>
      </c>
      <c r="E95" s="43">
        <v>23.35</v>
      </c>
      <c r="F95" s="36">
        <v>72.0</v>
      </c>
      <c r="G95" s="44"/>
      <c r="H95" s="35">
        <f t="shared" si="1"/>
        <v>1681.2</v>
      </c>
      <c r="I95" s="36"/>
      <c r="J95" s="36">
        <v>25.0</v>
      </c>
      <c r="K95" s="35">
        <f t="shared" si="2"/>
        <v>583.75</v>
      </c>
    </row>
    <row r="96" ht="15.75" customHeight="1">
      <c r="A96" s="36" t="s">
        <v>173</v>
      </c>
      <c r="B96" s="36" t="s">
        <v>174</v>
      </c>
      <c r="C96" s="36">
        <v>15.0</v>
      </c>
      <c r="D96" s="36" t="s">
        <v>23</v>
      </c>
      <c r="E96" s="43">
        <v>27.85</v>
      </c>
      <c r="F96" s="36">
        <v>84.0</v>
      </c>
      <c r="G96" s="44"/>
      <c r="H96" s="35">
        <f t="shared" si="1"/>
        <v>2339.4</v>
      </c>
      <c r="I96" s="36"/>
      <c r="J96" s="36">
        <v>55.0</v>
      </c>
      <c r="K96" s="35">
        <f t="shared" si="2"/>
        <v>1531.75</v>
      </c>
    </row>
    <row r="97" ht="15.75" customHeight="1">
      <c r="A97" s="36" t="s">
        <v>175</v>
      </c>
      <c r="B97" s="36" t="s">
        <v>176</v>
      </c>
      <c r="C97" s="36">
        <v>105.0</v>
      </c>
      <c r="D97" s="36" t="s">
        <v>23</v>
      </c>
      <c r="E97" s="43">
        <v>36.65</v>
      </c>
      <c r="F97" s="36">
        <v>30.0</v>
      </c>
      <c r="G97" s="44"/>
      <c r="H97" s="35">
        <f t="shared" si="1"/>
        <v>1099.5</v>
      </c>
      <c r="I97" s="36"/>
      <c r="J97" s="36">
        <v>18.0</v>
      </c>
      <c r="K97" s="35">
        <f t="shared" si="2"/>
        <v>659.7</v>
      </c>
    </row>
    <row r="98" ht="15.75" customHeight="1">
      <c r="A98" s="36" t="s">
        <v>177</v>
      </c>
      <c r="B98" s="36" t="s">
        <v>178</v>
      </c>
      <c r="C98" s="36">
        <v>15.0</v>
      </c>
      <c r="D98" s="36" t="s">
        <v>23</v>
      </c>
      <c r="E98" s="43">
        <v>44.29</v>
      </c>
      <c r="F98" s="36">
        <v>42.0</v>
      </c>
      <c r="G98" s="44"/>
      <c r="H98" s="35">
        <f t="shared" si="1"/>
        <v>1860.18</v>
      </c>
      <c r="I98" s="36"/>
      <c r="J98" s="36">
        <v>18.0</v>
      </c>
      <c r="K98" s="35">
        <f t="shared" si="2"/>
        <v>797.22</v>
      </c>
    </row>
    <row r="99" ht="15.75" customHeight="1">
      <c r="A99" s="46" t="s">
        <v>179</v>
      </c>
      <c r="B99" s="46" t="s">
        <v>180</v>
      </c>
      <c r="C99" s="46"/>
      <c r="D99" s="46" t="s">
        <v>23</v>
      </c>
      <c r="E99" s="47">
        <v>54.09</v>
      </c>
      <c r="F99" s="46">
        <v>30.0</v>
      </c>
      <c r="G99" s="48"/>
      <c r="H99" s="49">
        <f t="shared" si="1"/>
        <v>1622.7</v>
      </c>
      <c r="I99" s="46" t="s">
        <v>181</v>
      </c>
      <c r="J99" s="36"/>
      <c r="K99" s="49">
        <f t="shared" si="2"/>
        <v>0</v>
      </c>
    </row>
    <row r="100" ht="15.75" customHeight="1">
      <c r="A100" s="36" t="s">
        <v>182</v>
      </c>
      <c r="B100" s="36" t="s">
        <v>183</v>
      </c>
      <c r="C100" s="36">
        <v>22.0</v>
      </c>
      <c r="D100" s="36" t="s">
        <v>23</v>
      </c>
      <c r="E100" s="43">
        <v>93.9</v>
      </c>
      <c r="F100" s="36"/>
      <c r="G100" s="44"/>
      <c r="H100" s="35">
        <f t="shared" si="1"/>
        <v>0</v>
      </c>
      <c r="I100" s="36"/>
      <c r="J100" s="36"/>
      <c r="K100" s="35">
        <f t="shared" si="2"/>
        <v>0</v>
      </c>
    </row>
    <row r="101" ht="15.75" customHeight="1">
      <c r="A101" s="36" t="s">
        <v>184</v>
      </c>
      <c r="B101" s="36" t="s">
        <v>185</v>
      </c>
      <c r="C101" s="36">
        <v>22.0</v>
      </c>
      <c r="D101" s="36" t="s">
        <v>23</v>
      </c>
      <c r="E101" s="43">
        <v>109.96</v>
      </c>
      <c r="F101" s="36"/>
      <c r="G101" s="44"/>
      <c r="H101" s="35">
        <f t="shared" si="1"/>
        <v>0</v>
      </c>
      <c r="I101" s="36"/>
      <c r="J101" s="36"/>
      <c r="K101" s="35">
        <f t="shared" si="2"/>
        <v>0</v>
      </c>
    </row>
    <row r="102" ht="15.75" customHeight="1">
      <c r="A102" s="36" t="s">
        <v>186</v>
      </c>
      <c r="B102" s="36" t="s">
        <v>187</v>
      </c>
      <c r="C102" s="36">
        <v>10.0</v>
      </c>
      <c r="D102" s="36" t="s">
        <v>23</v>
      </c>
      <c r="E102" s="43">
        <v>135.26</v>
      </c>
      <c r="F102" s="36"/>
      <c r="G102" s="44"/>
      <c r="H102" s="35">
        <f t="shared" si="1"/>
        <v>0</v>
      </c>
      <c r="I102" s="36"/>
      <c r="J102" s="36"/>
      <c r="K102" s="35">
        <f t="shared" si="2"/>
        <v>0</v>
      </c>
    </row>
    <row r="103" ht="15.75" customHeight="1">
      <c r="A103" s="36"/>
      <c r="B103" s="45" t="s">
        <v>188</v>
      </c>
      <c r="C103" s="36"/>
      <c r="D103" s="36"/>
      <c r="E103" s="43"/>
      <c r="F103" s="36"/>
      <c r="G103" s="44"/>
      <c r="H103" s="35">
        <f t="shared" si="1"/>
        <v>0</v>
      </c>
      <c r="I103" s="36"/>
      <c r="J103" s="36"/>
      <c r="K103" s="35">
        <f t="shared" si="2"/>
        <v>0</v>
      </c>
    </row>
    <row r="104" ht="15.75" customHeight="1">
      <c r="A104" s="46" t="s">
        <v>189</v>
      </c>
      <c r="B104" s="46" t="s">
        <v>190</v>
      </c>
      <c r="C104" s="46"/>
      <c r="D104" s="46" t="s">
        <v>191</v>
      </c>
      <c r="E104" s="47">
        <v>13.48</v>
      </c>
      <c r="F104" s="46">
        <v>12.0</v>
      </c>
      <c r="G104" s="48"/>
      <c r="H104" s="49">
        <f t="shared" si="1"/>
        <v>161.76</v>
      </c>
      <c r="I104" s="46" t="s">
        <v>192</v>
      </c>
      <c r="J104" s="46">
        <v>10.0</v>
      </c>
      <c r="K104" s="49">
        <f t="shared" si="2"/>
        <v>134.8</v>
      </c>
      <c r="L104" s="50" t="s">
        <v>153</v>
      </c>
    </row>
    <row r="105" ht="15.75" customHeight="1">
      <c r="A105" s="36" t="s">
        <v>193</v>
      </c>
      <c r="B105" s="36" t="s">
        <v>194</v>
      </c>
      <c r="C105" s="36">
        <v>10.0</v>
      </c>
      <c r="D105" s="36" t="s">
        <v>32</v>
      </c>
      <c r="E105" s="43">
        <v>14.28</v>
      </c>
      <c r="F105" s="36">
        <v>62.0</v>
      </c>
      <c r="G105" s="44"/>
      <c r="H105" s="35">
        <f t="shared" si="1"/>
        <v>885.36</v>
      </c>
      <c r="I105" s="36"/>
      <c r="J105" s="36">
        <v>11.0</v>
      </c>
      <c r="K105" s="35">
        <f t="shared" si="2"/>
        <v>157.08</v>
      </c>
    </row>
    <row r="106" ht="15.75" customHeight="1">
      <c r="A106" s="36" t="s">
        <v>195</v>
      </c>
      <c r="B106" s="36" t="s">
        <v>196</v>
      </c>
      <c r="C106" s="36">
        <v>15.0</v>
      </c>
      <c r="D106" s="36" t="s">
        <v>32</v>
      </c>
      <c r="E106" s="43">
        <v>16.2</v>
      </c>
      <c r="F106" s="36">
        <v>76.0</v>
      </c>
      <c r="G106" s="44"/>
      <c r="H106" s="35">
        <f t="shared" si="1"/>
        <v>1231.2</v>
      </c>
      <c r="I106" s="36"/>
      <c r="J106" s="36">
        <v>6.0</v>
      </c>
      <c r="K106" s="35">
        <f t="shared" si="2"/>
        <v>97.2</v>
      </c>
    </row>
    <row r="107" ht="15.75" customHeight="1">
      <c r="A107" s="36" t="s">
        <v>197</v>
      </c>
      <c r="B107" s="36" t="s">
        <v>198</v>
      </c>
      <c r="C107" s="36">
        <v>12.0</v>
      </c>
      <c r="D107" s="36" t="s">
        <v>32</v>
      </c>
      <c r="E107" s="43">
        <v>19.7</v>
      </c>
      <c r="F107" s="36">
        <v>47.0</v>
      </c>
      <c r="G107" s="44"/>
      <c r="H107" s="35">
        <f t="shared" si="1"/>
        <v>925.9</v>
      </c>
      <c r="I107" s="36"/>
      <c r="J107" s="36">
        <v>12.0</v>
      </c>
      <c r="K107" s="35">
        <f t="shared" si="2"/>
        <v>236.4</v>
      </c>
    </row>
    <row r="108" ht="15.75" customHeight="1">
      <c r="A108" s="36" t="s">
        <v>199</v>
      </c>
      <c r="B108" s="36" t="s">
        <v>200</v>
      </c>
      <c r="C108" s="36">
        <v>35.0</v>
      </c>
      <c r="D108" s="36" t="s">
        <v>32</v>
      </c>
      <c r="E108" s="43">
        <v>27.72</v>
      </c>
      <c r="F108" s="36">
        <v>40.0</v>
      </c>
      <c r="G108" s="44"/>
      <c r="H108" s="35">
        <f t="shared" si="1"/>
        <v>1108.8</v>
      </c>
      <c r="I108" s="36"/>
      <c r="J108" s="36">
        <v>14.0</v>
      </c>
      <c r="K108" s="35">
        <f t="shared" si="2"/>
        <v>388.08</v>
      </c>
    </row>
    <row r="109" ht="15.75" customHeight="1">
      <c r="A109" s="36" t="s">
        <v>201</v>
      </c>
      <c r="B109" s="36" t="s">
        <v>202</v>
      </c>
      <c r="C109" s="36">
        <v>5.0</v>
      </c>
      <c r="D109" s="36" t="s">
        <v>32</v>
      </c>
      <c r="E109" s="43">
        <v>42.62</v>
      </c>
      <c r="F109" s="36">
        <v>14.0</v>
      </c>
      <c r="G109" s="44"/>
      <c r="H109" s="35">
        <f t="shared" si="1"/>
        <v>596.68</v>
      </c>
      <c r="I109" s="36"/>
      <c r="J109" s="36"/>
      <c r="K109" s="35">
        <f t="shared" si="2"/>
        <v>0</v>
      </c>
    </row>
    <row r="110" ht="15.75" customHeight="1">
      <c r="A110" s="36" t="s">
        <v>203</v>
      </c>
      <c r="B110" s="36" t="s">
        <v>204</v>
      </c>
      <c r="C110" s="36">
        <v>8.0</v>
      </c>
      <c r="D110" s="36" t="s">
        <v>32</v>
      </c>
      <c r="E110" s="43">
        <v>118.16</v>
      </c>
      <c r="F110" s="36"/>
      <c r="G110" s="44"/>
      <c r="H110" s="35">
        <f t="shared" si="1"/>
        <v>0</v>
      </c>
      <c r="I110" s="36"/>
      <c r="J110" s="36"/>
      <c r="K110" s="35">
        <f t="shared" si="2"/>
        <v>0</v>
      </c>
    </row>
    <row r="111" ht="15.75" customHeight="1">
      <c r="A111" s="36" t="s">
        <v>205</v>
      </c>
      <c r="B111" s="36" t="s">
        <v>206</v>
      </c>
      <c r="C111" s="36">
        <v>12.0</v>
      </c>
      <c r="D111" s="36" t="s">
        <v>32</v>
      </c>
      <c r="E111" s="43">
        <v>142.98</v>
      </c>
      <c r="F111" s="36"/>
      <c r="G111" s="44"/>
      <c r="H111" s="35">
        <f t="shared" si="1"/>
        <v>0</v>
      </c>
      <c r="I111" s="36"/>
      <c r="J111" s="36"/>
      <c r="K111" s="35">
        <f t="shared" si="2"/>
        <v>0</v>
      </c>
    </row>
    <row r="112" ht="15.75" customHeight="1">
      <c r="A112" s="36" t="s">
        <v>207</v>
      </c>
      <c r="B112" s="36" t="s">
        <v>208</v>
      </c>
      <c r="C112" s="36">
        <v>8.0</v>
      </c>
      <c r="D112" s="36" t="s">
        <v>32</v>
      </c>
      <c r="E112" s="43">
        <v>193.68</v>
      </c>
      <c r="F112" s="36"/>
      <c r="G112" s="44"/>
      <c r="H112" s="35">
        <f t="shared" si="1"/>
        <v>0</v>
      </c>
      <c r="I112" s="36"/>
      <c r="J112" s="36"/>
      <c r="K112" s="35">
        <f t="shared" si="2"/>
        <v>0</v>
      </c>
    </row>
    <row r="113" ht="15.75" customHeight="1">
      <c r="A113" s="36" t="s">
        <v>209</v>
      </c>
      <c r="B113" s="36" t="s">
        <v>210</v>
      </c>
      <c r="C113" s="36">
        <v>10.0</v>
      </c>
      <c r="D113" s="36" t="s">
        <v>32</v>
      </c>
      <c r="E113" s="43">
        <v>20.9</v>
      </c>
      <c r="F113" s="36">
        <v>5.0</v>
      </c>
      <c r="G113" s="44"/>
      <c r="H113" s="35">
        <f t="shared" si="1"/>
        <v>104.5</v>
      </c>
      <c r="I113" s="36"/>
      <c r="J113" s="36">
        <v>4.0</v>
      </c>
      <c r="K113" s="35">
        <f t="shared" si="2"/>
        <v>83.6</v>
      </c>
    </row>
    <row r="114" ht="15.75" customHeight="1">
      <c r="A114" s="36" t="s">
        <v>211</v>
      </c>
      <c r="B114" s="36" t="s">
        <v>212</v>
      </c>
      <c r="C114" s="36">
        <v>8.0</v>
      </c>
      <c r="D114" s="36" t="s">
        <v>32</v>
      </c>
      <c r="E114" s="43">
        <v>21.81</v>
      </c>
      <c r="F114" s="36">
        <v>6.0</v>
      </c>
      <c r="G114" s="44"/>
      <c r="H114" s="35">
        <f t="shared" si="1"/>
        <v>130.86</v>
      </c>
      <c r="I114" s="36"/>
      <c r="J114" s="36">
        <v>3.0</v>
      </c>
      <c r="K114" s="35">
        <f t="shared" si="2"/>
        <v>65.43</v>
      </c>
    </row>
    <row r="115" ht="15.75" customHeight="1">
      <c r="A115" s="36" t="s">
        <v>213</v>
      </c>
      <c r="B115" s="36" t="s">
        <v>214</v>
      </c>
      <c r="C115" s="36">
        <v>5.0</v>
      </c>
      <c r="D115" s="36" t="s">
        <v>32</v>
      </c>
      <c r="E115" s="43">
        <v>25.88</v>
      </c>
      <c r="F115" s="36">
        <v>6.0</v>
      </c>
      <c r="G115" s="44"/>
      <c r="H115" s="35">
        <f t="shared" si="1"/>
        <v>155.28</v>
      </c>
      <c r="I115" s="36"/>
      <c r="J115" s="36">
        <v>5.0</v>
      </c>
      <c r="K115" s="35">
        <f t="shared" si="2"/>
        <v>129.4</v>
      </c>
    </row>
    <row r="116" ht="15.75" customHeight="1">
      <c r="A116" s="36" t="s">
        <v>215</v>
      </c>
      <c r="B116" s="36" t="s">
        <v>216</v>
      </c>
      <c r="C116" s="36">
        <v>10.0</v>
      </c>
      <c r="D116" s="36" t="s">
        <v>32</v>
      </c>
      <c r="E116" s="43">
        <v>30.62</v>
      </c>
      <c r="F116" s="36">
        <v>10.0</v>
      </c>
      <c r="G116" s="44"/>
      <c r="H116" s="35">
        <f t="shared" si="1"/>
        <v>306.2</v>
      </c>
      <c r="I116" s="36"/>
      <c r="J116" s="36">
        <v>2.0</v>
      </c>
      <c r="K116" s="35">
        <f t="shared" si="2"/>
        <v>61.24</v>
      </c>
    </row>
    <row r="117" ht="15.75" customHeight="1">
      <c r="A117" s="36" t="s">
        <v>217</v>
      </c>
      <c r="B117" s="36" t="s">
        <v>218</v>
      </c>
      <c r="C117" s="36">
        <v>2.0</v>
      </c>
      <c r="D117" s="36" t="s">
        <v>32</v>
      </c>
      <c r="E117" s="43">
        <v>41.11</v>
      </c>
      <c r="F117" s="36">
        <v>4.0</v>
      </c>
      <c r="G117" s="44"/>
      <c r="H117" s="35">
        <f t="shared" si="1"/>
        <v>164.44</v>
      </c>
      <c r="I117" s="36"/>
      <c r="J117" s="36">
        <v>1.0</v>
      </c>
      <c r="K117" s="35">
        <f t="shared" si="2"/>
        <v>41.11</v>
      </c>
    </row>
    <row r="118" ht="15.75" customHeight="1">
      <c r="A118" s="36" t="s">
        <v>219</v>
      </c>
      <c r="B118" s="36" t="s">
        <v>220</v>
      </c>
      <c r="C118" s="36">
        <v>3.0</v>
      </c>
      <c r="D118" s="36" t="s">
        <v>32</v>
      </c>
      <c r="E118" s="43">
        <v>189.5</v>
      </c>
      <c r="F118" s="36"/>
      <c r="G118" s="44"/>
      <c r="H118" s="35">
        <f t="shared" si="1"/>
        <v>0</v>
      </c>
      <c r="I118" s="36"/>
      <c r="J118" s="36"/>
      <c r="K118" s="35">
        <f t="shared" si="2"/>
        <v>0</v>
      </c>
    </row>
    <row r="119" ht="15.75" customHeight="1">
      <c r="A119" s="36" t="s">
        <v>221</v>
      </c>
      <c r="B119" s="36" t="s">
        <v>222</v>
      </c>
      <c r="C119" s="36">
        <v>3.0</v>
      </c>
      <c r="D119" s="36" t="s">
        <v>32</v>
      </c>
      <c r="E119" s="43">
        <v>220.18</v>
      </c>
      <c r="F119" s="36"/>
      <c r="G119" s="44"/>
      <c r="H119" s="35">
        <f t="shared" si="1"/>
        <v>0</v>
      </c>
      <c r="I119" s="36"/>
      <c r="J119" s="36"/>
      <c r="K119" s="35">
        <f t="shared" si="2"/>
        <v>0</v>
      </c>
    </row>
    <row r="120" ht="15.75" customHeight="1">
      <c r="A120" s="46" t="s">
        <v>223</v>
      </c>
      <c r="B120" s="46" t="s">
        <v>224</v>
      </c>
      <c r="C120" s="46"/>
      <c r="D120" s="46" t="s">
        <v>32</v>
      </c>
      <c r="E120" s="47">
        <v>11.22</v>
      </c>
      <c r="F120" s="46">
        <v>10.0</v>
      </c>
      <c r="G120" s="48"/>
      <c r="H120" s="49">
        <f t="shared" si="1"/>
        <v>112.2</v>
      </c>
      <c r="I120" s="46" t="s">
        <v>225</v>
      </c>
      <c r="J120" s="46">
        <v>4.0</v>
      </c>
      <c r="K120" s="35">
        <f t="shared" si="2"/>
        <v>44.88</v>
      </c>
      <c r="L120" s="50" t="s">
        <v>153</v>
      </c>
    </row>
    <row r="121" ht="15.75" customHeight="1">
      <c r="A121" s="36" t="s">
        <v>226</v>
      </c>
      <c r="B121" s="36" t="s">
        <v>227</v>
      </c>
      <c r="C121" s="36">
        <v>6.0</v>
      </c>
      <c r="D121" s="36" t="s">
        <v>32</v>
      </c>
      <c r="E121" s="43">
        <v>11.68</v>
      </c>
      <c r="F121" s="36">
        <v>10.0</v>
      </c>
      <c r="G121" s="44"/>
      <c r="H121" s="35">
        <f t="shared" si="1"/>
        <v>116.8</v>
      </c>
      <c r="I121" s="36"/>
      <c r="J121" s="36">
        <v>6.0</v>
      </c>
      <c r="K121" s="35">
        <f t="shared" si="2"/>
        <v>70.08</v>
      </c>
    </row>
    <row r="122" ht="15.75" customHeight="1">
      <c r="A122" s="36" t="s">
        <v>228</v>
      </c>
      <c r="B122" s="36" t="s">
        <v>229</v>
      </c>
      <c r="C122" s="36">
        <v>13.0</v>
      </c>
      <c r="D122" s="36" t="s">
        <v>32</v>
      </c>
      <c r="E122" s="43">
        <v>12.58</v>
      </c>
      <c r="F122" s="36">
        <v>10.0</v>
      </c>
      <c r="G122" s="44"/>
      <c r="H122" s="35">
        <f t="shared" si="1"/>
        <v>125.8</v>
      </c>
      <c r="I122" s="36"/>
      <c r="J122" s="36">
        <v>3.0</v>
      </c>
      <c r="K122" s="35">
        <f t="shared" si="2"/>
        <v>37.74</v>
      </c>
    </row>
    <row r="123" ht="15.75" customHeight="1">
      <c r="A123" s="36" t="s">
        <v>230</v>
      </c>
      <c r="B123" s="36" t="s">
        <v>231</v>
      </c>
      <c r="C123" s="36">
        <v>2.0</v>
      </c>
      <c r="D123" s="36" t="s">
        <v>32</v>
      </c>
      <c r="E123" s="43">
        <v>13.48</v>
      </c>
      <c r="F123" s="36">
        <v>10.0</v>
      </c>
      <c r="G123" s="44"/>
      <c r="H123" s="35">
        <f t="shared" si="1"/>
        <v>134.8</v>
      </c>
      <c r="I123" s="36"/>
      <c r="J123" s="36">
        <v>5.0</v>
      </c>
      <c r="K123" s="35">
        <f t="shared" si="2"/>
        <v>67.4</v>
      </c>
    </row>
    <row r="124" ht="15.75" customHeight="1">
      <c r="A124" s="36" t="s">
        <v>232</v>
      </c>
      <c r="B124" s="36" t="s">
        <v>233</v>
      </c>
      <c r="C124" s="36">
        <v>22.0</v>
      </c>
      <c r="D124" s="36" t="s">
        <v>32</v>
      </c>
      <c r="E124" s="43">
        <v>15.52</v>
      </c>
      <c r="F124" s="36">
        <v>4.0</v>
      </c>
      <c r="G124" s="44"/>
      <c r="H124" s="35">
        <f t="shared" si="1"/>
        <v>62.08</v>
      </c>
      <c r="I124" s="36"/>
      <c r="J124" s="36">
        <v>2.0</v>
      </c>
      <c r="K124" s="35">
        <f t="shared" si="2"/>
        <v>31.04</v>
      </c>
    </row>
    <row r="125" ht="15.75" customHeight="1">
      <c r="A125" s="36" t="s">
        <v>234</v>
      </c>
      <c r="B125" s="36" t="s">
        <v>235</v>
      </c>
      <c r="C125" s="36">
        <v>3.0</v>
      </c>
      <c r="D125" s="36" t="s">
        <v>32</v>
      </c>
      <c r="E125" s="43">
        <v>20.7</v>
      </c>
      <c r="F125" s="36">
        <v>6.0</v>
      </c>
      <c r="G125" s="44"/>
      <c r="H125" s="35">
        <f t="shared" si="1"/>
        <v>124.2</v>
      </c>
      <c r="I125" s="36"/>
      <c r="J125" s="36">
        <v>2.0</v>
      </c>
      <c r="K125" s="35">
        <f t="shared" si="2"/>
        <v>41.4</v>
      </c>
    </row>
    <row r="126" ht="15.75" customHeight="1">
      <c r="A126" s="36" t="s">
        <v>236</v>
      </c>
      <c r="B126" s="36" t="s">
        <v>237</v>
      </c>
      <c r="C126" s="36">
        <v>4.0</v>
      </c>
      <c r="D126" s="36" t="s">
        <v>32</v>
      </c>
      <c r="E126" s="43">
        <v>82.0</v>
      </c>
      <c r="F126" s="36"/>
      <c r="G126" s="44"/>
      <c r="H126" s="35">
        <f t="shared" si="1"/>
        <v>0</v>
      </c>
      <c r="I126" s="36"/>
      <c r="J126" s="36"/>
      <c r="K126" s="35">
        <f t="shared" si="2"/>
        <v>0</v>
      </c>
    </row>
    <row r="127" ht="15.75" customHeight="1">
      <c r="A127" s="36" t="s">
        <v>238</v>
      </c>
      <c r="B127" s="36" t="s">
        <v>239</v>
      </c>
      <c r="C127" s="36">
        <v>2.0</v>
      </c>
      <c r="D127" s="36" t="s">
        <v>32</v>
      </c>
      <c r="E127" s="43">
        <v>98.69</v>
      </c>
      <c r="F127" s="36"/>
      <c r="G127" s="44"/>
      <c r="H127" s="35">
        <f t="shared" si="1"/>
        <v>0</v>
      </c>
      <c r="I127" s="36"/>
      <c r="J127" s="36"/>
      <c r="K127" s="35">
        <f t="shared" si="2"/>
        <v>0</v>
      </c>
    </row>
    <row r="128" ht="15.75" customHeight="1">
      <c r="A128" s="36" t="s">
        <v>240</v>
      </c>
      <c r="B128" s="36" t="s">
        <v>241</v>
      </c>
      <c r="C128" s="36">
        <v>3.0</v>
      </c>
      <c r="D128" s="36" t="s">
        <v>32</v>
      </c>
      <c r="E128" s="43">
        <v>11.79</v>
      </c>
      <c r="F128" s="36">
        <v>22.0</v>
      </c>
      <c r="G128" s="44"/>
      <c r="H128" s="35">
        <f t="shared" si="1"/>
        <v>259.38</v>
      </c>
      <c r="I128" s="36"/>
      <c r="J128" s="36">
        <v>6.0</v>
      </c>
      <c r="K128" s="35">
        <f t="shared" si="2"/>
        <v>70.74</v>
      </c>
    </row>
    <row r="129" ht="15.75" customHeight="1">
      <c r="A129" s="36" t="s">
        <v>242</v>
      </c>
      <c r="B129" s="36" t="s">
        <v>243</v>
      </c>
      <c r="C129" s="36">
        <v>6.0</v>
      </c>
      <c r="D129" s="36" t="s">
        <v>32</v>
      </c>
      <c r="E129" s="43">
        <v>12.47</v>
      </c>
      <c r="F129" s="36">
        <v>18.0</v>
      </c>
      <c r="G129" s="44"/>
      <c r="H129" s="35">
        <f t="shared" si="1"/>
        <v>224.46</v>
      </c>
      <c r="I129" s="36"/>
      <c r="J129" s="36">
        <v>6.0</v>
      </c>
      <c r="K129" s="35">
        <f t="shared" si="2"/>
        <v>74.82</v>
      </c>
    </row>
    <row r="130" ht="15.75" customHeight="1">
      <c r="A130" s="36" t="s">
        <v>244</v>
      </c>
      <c r="B130" s="36" t="s">
        <v>245</v>
      </c>
      <c r="C130" s="36">
        <v>2.0</v>
      </c>
      <c r="D130" s="36" t="s">
        <v>32</v>
      </c>
      <c r="E130" s="43">
        <v>13.48</v>
      </c>
      <c r="F130" s="36">
        <v>4.0</v>
      </c>
      <c r="G130" s="44"/>
      <c r="H130" s="35">
        <f t="shared" si="1"/>
        <v>53.92</v>
      </c>
      <c r="I130" s="36"/>
      <c r="J130" s="36">
        <v>1.0</v>
      </c>
      <c r="K130" s="35">
        <f t="shared" si="2"/>
        <v>13.48</v>
      </c>
    </row>
    <row r="131" ht="15.75" customHeight="1">
      <c r="A131" s="36" t="s">
        <v>246</v>
      </c>
      <c r="B131" s="36" t="s">
        <v>247</v>
      </c>
      <c r="C131" s="36">
        <v>8.0</v>
      </c>
      <c r="D131" s="36" t="s">
        <v>32</v>
      </c>
      <c r="E131" s="43">
        <v>18.12</v>
      </c>
      <c r="F131" s="36">
        <v>6.0</v>
      </c>
      <c r="G131" s="44"/>
      <c r="H131" s="35">
        <f t="shared" si="1"/>
        <v>108.72</v>
      </c>
      <c r="I131" s="36"/>
      <c r="J131" s="36">
        <v>3.0</v>
      </c>
      <c r="K131" s="35">
        <f t="shared" si="2"/>
        <v>54.36</v>
      </c>
    </row>
    <row r="132" ht="15.75" customHeight="1">
      <c r="A132" s="36" t="s">
        <v>248</v>
      </c>
      <c r="B132" s="36" t="s">
        <v>249</v>
      </c>
      <c r="C132" s="36">
        <v>6.0</v>
      </c>
      <c r="D132" s="36" t="s">
        <v>32</v>
      </c>
      <c r="E132" s="43">
        <v>22.73</v>
      </c>
      <c r="F132" s="36">
        <v>2.0</v>
      </c>
      <c r="G132" s="44"/>
      <c r="H132" s="35">
        <f t="shared" si="1"/>
        <v>45.46</v>
      </c>
      <c r="I132" s="36"/>
      <c r="J132" s="36">
        <v>1.0</v>
      </c>
      <c r="K132" s="35">
        <f t="shared" si="2"/>
        <v>22.73</v>
      </c>
    </row>
    <row r="133" ht="15.75" customHeight="1">
      <c r="A133" s="36" t="s">
        <v>250</v>
      </c>
      <c r="B133" s="36" t="s">
        <v>251</v>
      </c>
      <c r="C133" s="36">
        <v>2.0</v>
      </c>
      <c r="D133" s="36" t="s">
        <v>32</v>
      </c>
      <c r="E133" s="43">
        <v>76.58</v>
      </c>
      <c r="F133" s="36"/>
      <c r="G133" s="44"/>
      <c r="H133" s="35">
        <f t="shared" si="1"/>
        <v>0</v>
      </c>
      <c r="I133" s="36"/>
      <c r="J133" s="36"/>
      <c r="K133" s="35">
        <f t="shared" si="2"/>
        <v>0</v>
      </c>
    </row>
    <row r="134" ht="15.75" customHeight="1">
      <c r="A134" s="36" t="s">
        <v>252</v>
      </c>
      <c r="B134" s="36" t="s">
        <v>253</v>
      </c>
      <c r="C134" s="36">
        <v>15.0</v>
      </c>
      <c r="D134" s="36" t="s">
        <v>32</v>
      </c>
      <c r="E134" s="43">
        <v>84.33</v>
      </c>
      <c r="F134" s="36"/>
      <c r="G134" s="44"/>
      <c r="H134" s="35">
        <f t="shared" si="1"/>
        <v>0</v>
      </c>
      <c r="I134" s="36"/>
      <c r="J134" s="36"/>
      <c r="K134" s="35">
        <f t="shared" si="2"/>
        <v>0</v>
      </c>
    </row>
    <row r="135" ht="15.75" customHeight="1">
      <c r="A135" s="46" t="s">
        <v>254</v>
      </c>
      <c r="B135" s="46" t="s">
        <v>255</v>
      </c>
      <c r="C135" s="46"/>
      <c r="D135" s="46" t="s">
        <v>32</v>
      </c>
      <c r="E135" s="47">
        <v>17.65</v>
      </c>
      <c r="F135" s="46">
        <v>6.0</v>
      </c>
      <c r="G135" s="48"/>
      <c r="H135" s="49">
        <f t="shared" si="1"/>
        <v>105.9</v>
      </c>
      <c r="I135" s="46" t="s">
        <v>256</v>
      </c>
      <c r="J135" s="46"/>
      <c r="K135" s="49">
        <f t="shared" si="2"/>
        <v>0</v>
      </c>
    </row>
    <row r="136" ht="15.75" customHeight="1">
      <c r="A136" s="36" t="s">
        <v>257</v>
      </c>
      <c r="B136" s="36" t="s">
        <v>258</v>
      </c>
      <c r="C136" s="36">
        <v>2.0</v>
      </c>
      <c r="D136" s="36" t="s">
        <v>32</v>
      </c>
      <c r="E136" s="43">
        <v>17.99</v>
      </c>
      <c r="F136" s="36">
        <v>2.0</v>
      </c>
      <c r="G136" s="44"/>
      <c r="H136" s="35">
        <f t="shared" si="1"/>
        <v>35.98</v>
      </c>
      <c r="I136" s="36"/>
      <c r="J136" s="36"/>
      <c r="K136" s="35">
        <f t="shared" si="2"/>
        <v>0</v>
      </c>
    </row>
    <row r="137" ht="15.75" customHeight="1">
      <c r="A137" s="36" t="s">
        <v>259</v>
      </c>
      <c r="B137" s="36" t="s">
        <v>260</v>
      </c>
      <c r="C137" s="36">
        <v>3.0</v>
      </c>
      <c r="D137" s="36" t="s">
        <v>32</v>
      </c>
      <c r="E137" s="43">
        <v>19.68</v>
      </c>
      <c r="F137" s="36">
        <v>6.0</v>
      </c>
      <c r="G137" s="44"/>
      <c r="H137" s="35">
        <f t="shared" si="1"/>
        <v>118.08</v>
      </c>
      <c r="I137" s="36"/>
      <c r="J137" s="36"/>
      <c r="K137" s="35">
        <f t="shared" si="2"/>
        <v>0</v>
      </c>
    </row>
    <row r="138" ht="15.75" customHeight="1">
      <c r="A138" s="36" t="s">
        <v>261</v>
      </c>
      <c r="B138" s="36" t="s">
        <v>262</v>
      </c>
      <c r="C138" s="36">
        <v>4.0</v>
      </c>
      <c r="D138" s="36" t="s">
        <v>32</v>
      </c>
      <c r="E138" s="43">
        <v>25.33</v>
      </c>
      <c r="F138" s="36"/>
      <c r="G138" s="44"/>
      <c r="H138" s="35">
        <f t="shared" si="1"/>
        <v>0</v>
      </c>
      <c r="I138" s="36"/>
      <c r="J138" s="36"/>
      <c r="K138" s="35">
        <f t="shared" si="2"/>
        <v>0</v>
      </c>
    </row>
    <row r="139" ht="15.75" customHeight="1">
      <c r="A139" s="36" t="s">
        <v>263</v>
      </c>
      <c r="B139" s="36" t="s">
        <v>264</v>
      </c>
      <c r="C139" s="36">
        <v>8.0</v>
      </c>
      <c r="D139" s="36" t="s">
        <v>32</v>
      </c>
      <c r="E139" s="43">
        <v>30.75</v>
      </c>
      <c r="F139" s="36"/>
      <c r="G139" s="44"/>
      <c r="H139" s="35">
        <f t="shared" si="1"/>
        <v>0</v>
      </c>
      <c r="I139" s="36"/>
      <c r="J139" s="36"/>
      <c r="K139" s="35">
        <f t="shared" si="2"/>
        <v>0</v>
      </c>
    </row>
    <row r="140" ht="15.75" customHeight="1">
      <c r="A140" s="36" t="s">
        <v>265</v>
      </c>
      <c r="B140" s="36" t="s">
        <v>266</v>
      </c>
      <c r="C140" s="36">
        <v>5.0</v>
      </c>
      <c r="D140" s="36" t="s">
        <v>32</v>
      </c>
      <c r="E140" s="43">
        <v>42.71</v>
      </c>
      <c r="F140" s="36"/>
      <c r="G140" s="44"/>
      <c r="H140" s="35">
        <f t="shared" si="1"/>
        <v>0</v>
      </c>
      <c r="I140" s="36"/>
      <c r="J140" s="36"/>
      <c r="K140" s="35">
        <f t="shared" si="2"/>
        <v>0</v>
      </c>
    </row>
    <row r="141" ht="15.75" customHeight="1">
      <c r="A141" s="36" t="s">
        <v>267</v>
      </c>
      <c r="B141" s="36" t="s">
        <v>268</v>
      </c>
      <c r="C141" s="36">
        <v>4.0</v>
      </c>
      <c r="D141" s="36" t="s">
        <v>32</v>
      </c>
      <c r="E141" s="43">
        <v>217.2</v>
      </c>
      <c r="F141" s="36"/>
      <c r="G141" s="44"/>
      <c r="H141" s="35">
        <f t="shared" si="1"/>
        <v>0</v>
      </c>
      <c r="I141" s="36"/>
      <c r="J141" s="36"/>
      <c r="K141" s="35">
        <f t="shared" si="2"/>
        <v>0</v>
      </c>
    </row>
    <row r="142" ht="15.75" customHeight="1">
      <c r="A142" s="36" t="s">
        <v>269</v>
      </c>
      <c r="B142" s="36" t="s">
        <v>270</v>
      </c>
      <c r="C142" s="36">
        <v>4.0</v>
      </c>
      <c r="D142" s="36" t="s">
        <v>32</v>
      </c>
      <c r="E142" s="43">
        <v>320.77</v>
      </c>
      <c r="F142" s="36"/>
      <c r="G142" s="44"/>
      <c r="H142" s="35">
        <f t="shared" si="1"/>
        <v>0</v>
      </c>
      <c r="I142" s="36"/>
      <c r="J142" s="36"/>
      <c r="K142" s="35">
        <f t="shared" si="2"/>
        <v>0</v>
      </c>
    </row>
    <row r="143" ht="15.75" customHeight="1">
      <c r="A143" s="46" t="s">
        <v>271</v>
      </c>
      <c r="B143" s="46" t="s">
        <v>272</v>
      </c>
      <c r="C143" s="46"/>
      <c r="D143" s="46" t="s">
        <v>191</v>
      </c>
      <c r="E143" s="47">
        <v>27.44</v>
      </c>
      <c r="F143" s="46">
        <v>8.0</v>
      </c>
      <c r="G143" s="48"/>
      <c r="H143" s="49">
        <f t="shared" si="1"/>
        <v>219.52</v>
      </c>
      <c r="I143" s="46" t="s">
        <v>273</v>
      </c>
      <c r="J143" s="46"/>
      <c r="K143" s="49">
        <f t="shared" si="2"/>
        <v>0</v>
      </c>
    </row>
    <row r="144" ht="15.75" customHeight="1">
      <c r="A144" s="36" t="s">
        <v>274</v>
      </c>
      <c r="B144" s="36" t="s">
        <v>275</v>
      </c>
      <c r="C144" s="36">
        <v>10.0</v>
      </c>
      <c r="D144" s="36" t="s">
        <v>32</v>
      </c>
      <c r="E144" s="43">
        <v>216.39</v>
      </c>
      <c r="F144" s="36"/>
      <c r="G144" s="44"/>
      <c r="H144" s="35">
        <f t="shared" si="1"/>
        <v>0</v>
      </c>
      <c r="I144" s="36"/>
      <c r="J144" s="36"/>
      <c r="K144" s="35">
        <f t="shared" si="2"/>
        <v>0</v>
      </c>
    </row>
    <row r="145" ht="15.75" customHeight="1">
      <c r="A145" s="36"/>
      <c r="B145" s="45" t="s">
        <v>276</v>
      </c>
      <c r="C145" s="36"/>
      <c r="D145" s="36"/>
      <c r="E145" s="43"/>
      <c r="F145" s="36"/>
      <c r="G145" s="44"/>
      <c r="H145" s="35">
        <f t="shared" si="1"/>
        <v>0</v>
      </c>
      <c r="I145" s="36"/>
      <c r="J145" s="36"/>
      <c r="K145" s="35">
        <f t="shared" si="2"/>
        <v>0</v>
      </c>
    </row>
    <row r="146" ht="15.75" customHeight="1">
      <c r="A146" s="36" t="s">
        <v>277</v>
      </c>
      <c r="B146" s="36" t="s">
        <v>278</v>
      </c>
      <c r="C146" s="36">
        <v>30.0</v>
      </c>
      <c r="D146" s="36" t="s">
        <v>23</v>
      </c>
      <c r="E146" s="43">
        <v>9.4</v>
      </c>
      <c r="F146" s="36"/>
      <c r="G146" s="44"/>
      <c r="H146" s="35">
        <f t="shared" si="1"/>
        <v>0</v>
      </c>
      <c r="I146" s="36"/>
      <c r="J146" s="36"/>
      <c r="K146" s="35">
        <f t="shared" si="2"/>
        <v>0</v>
      </c>
    </row>
    <row r="147" ht="15.75" customHeight="1">
      <c r="A147" s="36" t="s">
        <v>279</v>
      </c>
      <c r="B147" s="36" t="s">
        <v>280</v>
      </c>
      <c r="C147" s="36">
        <v>15.0</v>
      </c>
      <c r="D147" s="36" t="s">
        <v>23</v>
      </c>
      <c r="E147" s="43">
        <v>11.09</v>
      </c>
      <c r="F147" s="36"/>
      <c r="G147" s="44"/>
      <c r="H147" s="35">
        <f t="shared" si="1"/>
        <v>0</v>
      </c>
      <c r="I147" s="36"/>
      <c r="J147" s="36"/>
      <c r="K147" s="35">
        <f t="shared" si="2"/>
        <v>0</v>
      </c>
    </row>
    <row r="148" ht="15.75" customHeight="1">
      <c r="A148" s="36" t="s">
        <v>281</v>
      </c>
      <c r="B148" s="36" t="s">
        <v>282</v>
      </c>
      <c r="C148" s="36">
        <v>15.0</v>
      </c>
      <c r="D148" s="36" t="s">
        <v>23</v>
      </c>
      <c r="E148" s="43">
        <v>18.06</v>
      </c>
      <c r="F148" s="36"/>
      <c r="G148" s="44"/>
      <c r="H148" s="35">
        <f t="shared" si="1"/>
        <v>0</v>
      </c>
      <c r="I148" s="36"/>
      <c r="J148" s="36"/>
      <c r="K148" s="35">
        <f t="shared" si="2"/>
        <v>0</v>
      </c>
    </row>
    <row r="149" ht="15.75" customHeight="1">
      <c r="A149" s="36"/>
      <c r="B149" s="45" t="s">
        <v>188</v>
      </c>
      <c r="C149" s="36"/>
      <c r="D149" s="36"/>
      <c r="E149" s="43"/>
      <c r="F149" s="36"/>
      <c r="G149" s="44"/>
      <c r="H149" s="35">
        <f t="shared" si="1"/>
        <v>0</v>
      </c>
      <c r="I149" s="36"/>
      <c r="J149" s="36"/>
      <c r="K149" s="35">
        <f t="shared" si="2"/>
        <v>0</v>
      </c>
    </row>
    <row r="150" ht="15.75" customHeight="1">
      <c r="A150" s="36" t="s">
        <v>283</v>
      </c>
      <c r="B150" s="36" t="s">
        <v>284</v>
      </c>
      <c r="C150" s="36">
        <v>30.0</v>
      </c>
      <c r="D150" s="36" t="s">
        <v>32</v>
      </c>
      <c r="E150" s="43">
        <v>12.24</v>
      </c>
      <c r="F150" s="36"/>
      <c r="G150" s="44"/>
      <c r="H150" s="35">
        <f t="shared" si="1"/>
        <v>0</v>
      </c>
      <c r="I150" s="36"/>
      <c r="J150" s="36"/>
      <c r="K150" s="35">
        <f t="shared" si="2"/>
        <v>0</v>
      </c>
    </row>
    <row r="151" ht="15.75" customHeight="1">
      <c r="A151" s="36" t="s">
        <v>285</v>
      </c>
      <c r="B151" s="36" t="s">
        <v>286</v>
      </c>
      <c r="C151" s="36">
        <v>15.0</v>
      </c>
      <c r="D151" s="36" t="s">
        <v>32</v>
      </c>
      <c r="E151" s="43">
        <v>14.5</v>
      </c>
      <c r="F151" s="36"/>
      <c r="G151" s="44"/>
      <c r="H151" s="35">
        <f t="shared" si="1"/>
        <v>0</v>
      </c>
      <c r="I151" s="36"/>
      <c r="J151" s="36"/>
      <c r="K151" s="35">
        <f t="shared" si="2"/>
        <v>0</v>
      </c>
    </row>
    <row r="152" ht="15.75" customHeight="1">
      <c r="A152" s="36" t="s">
        <v>287</v>
      </c>
      <c r="B152" s="36" t="s">
        <v>288</v>
      </c>
      <c r="C152" s="36">
        <v>10.0</v>
      </c>
      <c r="D152" s="36" t="s">
        <v>32</v>
      </c>
      <c r="E152" s="43">
        <v>18.34</v>
      </c>
      <c r="F152" s="36"/>
      <c r="G152" s="44"/>
      <c r="H152" s="35">
        <f t="shared" si="1"/>
        <v>0</v>
      </c>
      <c r="I152" s="36"/>
      <c r="J152" s="36"/>
      <c r="K152" s="35">
        <f t="shared" si="2"/>
        <v>0</v>
      </c>
    </row>
    <row r="153" ht="15.75" customHeight="1">
      <c r="A153" s="36" t="s">
        <v>289</v>
      </c>
      <c r="B153" s="36" t="s">
        <v>290</v>
      </c>
      <c r="C153" s="36">
        <v>15.0</v>
      </c>
      <c r="D153" s="36" t="s">
        <v>32</v>
      </c>
      <c r="E153" s="43">
        <v>18.31</v>
      </c>
      <c r="F153" s="36"/>
      <c r="G153" s="44"/>
      <c r="H153" s="35">
        <f t="shared" si="1"/>
        <v>0</v>
      </c>
      <c r="I153" s="36"/>
      <c r="J153" s="36"/>
      <c r="K153" s="35">
        <f t="shared" si="2"/>
        <v>0</v>
      </c>
    </row>
    <row r="154" ht="15.75" customHeight="1">
      <c r="A154" s="36" t="s">
        <v>291</v>
      </c>
      <c r="B154" s="36" t="s">
        <v>292</v>
      </c>
      <c r="C154" s="36">
        <v>11.0</v>
      </c>
      <c r="D154" s="36" t="s">
        <v>32</v>
      </c>
      <c r="E154" s="43">
        <v>21.36</v>
      </c>
      <c r="F154" s="36"/>
      <c r="G154" s="44"/>
      <c r="H154" s="35">
        <f t="shared" si="1"/>
        <v>0</v>
      </c>
      <c r="I154" s="36"/>
      <c r="J154" s="36"/>
      <c r="K154" s="35">
        <f t="shared" si="2"/>
        <v>0</v>
      </c>
    </row>
    <row r="155" ht="15.75" customHeight="1">
      <c r="A155" s="36" t="s">
        <v>293</v>
      </c>
      <c r="B155" s="36" t="s">
        <v>294</v>
      </c>
      <c r="C155" s="36">
        <v>8.0</v>
      </c>
      <c r="D155" s="36" t="s">
        <v>32</v>
      </c>
      <c r="E155" s="43">
        <v>27.01</v>
      </c>
      <c r="F155" s="36"/>
      <c r="G155" s="44"/>
      <c r="H155" s="35">
        <f t="shared" si="1"/>
        <v>0</v>
      </c>
      <c r="I155" s="36"/>
      <c r="J155" s="36"/>
      <c r="K155" s="35">
        <f t="shared" si="2"/>
        <v>0</v>
      </c>
    </row>
    <row r="156" ht="15.75" customHeight="1">
      <c r="A156" s="36" t="s">
        <v>295</v>
      </c>
      <c r="B156" s="36" t="s">
        <v>296</v>
      </c>
      <c r="C156" s="36">
        <v>8.0</v>
      </c>
      <c r="D156" s="36" t="s">
        <v>32</v>
      </c>
      <c r="E156" s="43">
        <v>13.15</v>
      </c>
      <c r="F156" s="36"/>
      <c r="G156" s="44"/>
      <c r="H156" s="35">
        <f t="shared" si="1"/>
        <v>0</v>
      </c>
      <c r="I156" s="36"/>
      <c r="J156" s="36"/>
      <c r="K156" s="35">
        <f t="shared" si="2"/>
        <v>0</v>
      </c>
    </row>
    <row r="157" ht="15.75" customHeight="1">
      <c r="A157" s="36" t="s">
        <v>297</v>
      </c>
      <c r="B157" s="36" t="s">
        <v>298</v>
      </c>
      <c r="C157" s="36">
        <v>7.0</v>
      </c>
      <c r="D157" s="36" t="s">
        <v>32</v>
      </c>
      <c r="E157" s="43">
        <v>13.15</v>
      </c>
      <c r="F157" s="36"/>
      <c r="G157" s="44"/>
      <c r="H157" s="35">
        <f t="shared" si="1"/>
        <v>0</v>
      </c>
      <c r="I157" s="36"/>
      <c r="J157" s="36"/>
      <c r="K157" s="35">
        <f t="shared" si="2"/>
        <v>0</v>
      </c>
    </row>
    <row r="158" ht="15.75" customHeight="1">
      <c r="A158" s="36" t="s">
        <v>299</v>
      </c>
      <c r="B158" s="36" t="s">
        <v>300</v>
      </c>
      <c r="C158" s="36">
        <v>6.0</v>
      </c>
      <c r="D158" s="36" t="s">
        <v>32</v>
      </c>
      <c r="E158" s="43">
        <v>17.1</v>
      </c>
      <c r="F158" s="36"/>
      <c r="G158" s="44"/>
      <c r="H158" s="35">
        <f t="shared" si="1"/>
        <v>0</v>
      </c>
      <c r="I158" s="36"/>
      <c r="J158" s="36"/>
      <c r="K158" s="35">
        <f t="shared" si="2"/>
        <v>0</v>
      </c>
    </row>
    <row r="159" ht="15.75" customHeight="1">
      <c r="A159" s="36" t="s">
        <v>301</v>
      </c>
      <c r="B159" s="36" t="s">
        <v>302</v>
      </c>
      <c r="C159" s="36">
        <v>11.0</v>
      </c>
      <c r="D159" s="36" t="s">
        <v>32</v>
      </c>
      <c r="E159" s="43">
        <v>12.79</v>
      </c>
      <c r="F159" s="36"/>
      <c r="G159" s="44"/>
      <c r="H159" s="35">
        <f t="shared" si="1"/>
        <v>0</v>
      </c>
      <c r="I159" s="36"/>
      <c r="J159" s="36"/>
      <c r="K159" s="35">
        <f t="shared" si="2"/>
        <v>0</v>
      </c>
    </row>
    <row r="160" ht="15.75" customHeight="1">
      <c r="A160" s="36" t="s">
        <v>303</v>
      </c>
      <c r="B160" s="36" t="s">
        <v>304</v>
      </c>
      <c r="C160" s="36">
        <v>8.0</v>
      </c>
      <c r="D160" s="36" t="s">
        <v>32</v>
      </c>
      <c r="E160" s="43">
        <v>15.5</v>
      </c>
      <c r="F160" s="36"/>
      <c r="G160" s="44"/>
      <c r="H160" s="35">
        <f t="shared" si="1"/>
        <v>0</v>
      </c>
      <c r="I160" s="36"/>
      <c r="J160" s="36"/>
      <c r="K160" s="35">
        <f t="shared" si="2"/>
        <v>0</v>
      </c>
    </row>
    <row r="161" ht="15.75" customHeight="1">
      <c r="A161" s="36" t="s">
        <v>305</v>
      </c>
      <c r="B161" s="36" t="s">
        <v>306</v>
      </c>
      <c r="C161" s="36">
        <v>6.0</v>
      </c>
      <c r="D161" s="36" t="s">
        <v>32</v>
      </c>
      <c r="E161" s="43">
        <v>20.36</v>
      </c>
      <c r="F161" s="36"/>
      <c r="G161" s="44"/>
      <c r="H161" s="35">
        <f t="shared" si="1"/>
        <v>0</v>
      </c>
      <c r="I161" s="36"/>
      <c r="J161" s="36"/>
      <c r="K161" s="35">
        <f t="shared" si="2"/>
        <v>0</v>
      </c>
    </row>
    <row r="162" ht="15.75" customHeight="1">
      <c r="A162" s="36" t="s">
        <v>307</v>
      </c>
      <c r="B162" s="36" t="s">
        <v>308</v>
      </c>
      <c r="C162" s="36">
        <v>20.0</v>
      </c>
      <c r="D162" s="36" t="s">
        <v>32</v>
      </c>
      <c r="E162" s="43">
        <v>21.9</v>
      </c>
      <c r="F162" s="36"/>
      <c r="G162" s="44"/>
      <c r="H162" s="35">
        <f t="shared" si="1"/>
        <v>0</v>
      </c>
      <c r="I162" s="36"/>
      <c r="J162" s="36"/>
      <c r="K162" s="35">
        <f t="shared" si="2"/>
        <v>0</v>
      </c>
    </row>
    <row r="163" ht="15.75" customHeight="1">
      <c r="A163" s="36" t="s">
        <v>309</v>
      </c>
      <c r="B163" s="36" t="s">
        <v>310</v>
      </c>
      <c r="C163" s="36">
        <v>20.0</v>
      </c>
      <c r="D163" s="36" t="s">
        <v>32</v>
      </c>
      <c r="E163" s="43">
        <v>37.74</v>
      </c>
      <c r="F163" s="36"/>
      <c r="G163" s="44"/>
      <c r="H163" s="35">
        <f t="shared" si="1"/>
        <v>0</v>
      </c>
      <c r="I163" s="36"/>
      <c r="J163" s="36"/>
      <c r="K163" s="35">
        <f t="shared" si="2"/>
        <v>0</v>
      </c>
    </row>
    <row r="164" ht="15.75" customHeight="1">
      <c r="A164" s="36" t="s">
        <v>311</v>
      </c>
      <c r="B164" s="36" t="s">
        <v>312</v>
      </c>
      <c r="C164" s="36">
        <v>1.0</v>
      </c>
      <c r="D164" s="36" t="s">
        <v>32</v>
      </c>
      <c r="E164" s="43">
        <v>2238.42</v>
      </c>
      <c r="F164" s="36"/>
      <c r="G164" s="44"/>
      <c r="H164" s="35">
        <f t="shared" si="1"/>
        <v>0</v>
      </c>
      <c r="I164" s="36"/>
      <c r="J164" s="36"/>
      <c r="K164" s="35">
        <f t="shared" si="2"/>
        <v>0</v>
      </c>
    </row>
    <row r="165" ht="15.75" customHeight="1">
      <c r="A165" s="36"/>
      <c r="B165" s="45" t="s">
        <v>108</v>
      </c>
      <c r="C165" s="36"/>
      <c r="D165" s="36"/>
      <c r="E165" s="43"/>
      <c r="F165" s="36"/>
      <c r="G165" s="44"/>
      <c r="H165" s="35">
        <f t="shared" si="1"/>
        <v>0</v>
      </c>
      <c r="I165" s="36"/>
      <c r="J165" s="36"/>
      <c r="K165" s="35">
        <f t="shared" si="2"/>
        <v>0</v>
      </c>
    </row>
    <row r="166" ht="15.75" customHeight="1">
      <c r="A166" s="36" t="s">
        <v>313</v>
      </c>
      <c r="B166" s="36" t="s">
        <v>314</v>
      </c>
      <c r="C166" s="36">
        <v>14.0</v>
      </c>
      <c r="D166" s="36" t="s">
        <v>32</v>
      </c>
      <c r="E166" s="43">
        <v>14.58</v>
      </c>
      <c r="F166" s="36"/>
      <c r="G166" s="44"/>
      <c r="H166" s="35">
        <f t="shared" si="1"/>
        <v>0</v>
      </c>
      <c r="I166" s="36"/>
      <c r="J166" s="36"/>
      <c r="K166" s="35">
        <f t="shared" si="2"/>
        <v>0</v>
      </c>
    </row>
    <row r="167" ht="15.75" customHeight="1">
      <c r="A167" s="36" t="s">
        <v>315</v>
      </c>
      <c r="B167" s="36" t="s">
        <v>316</v>
      </c>
      <c r="C167" s="36">
        <v>15.0</v>
      </c>
      <c r="D167" s="36" t="s">
        <v>32</v>
      </c>
      <c r="E167" s="43">
        <v>13.45</v>
      </c>
      <c r="F167" s="36"/>
      <c r="G167" s="44"/>
      <c r="H167" s="35">
        <f t="shared" si="1"/>
        <v>0</v>
      </c>
      <c r="I167" s="36"/>
      <c r="J167" s="36"/>
      <c r="K167" s="35">
        <f t="shared" si="2"/>
        <v>0</v>
      </c>
    </row>
    <row r="168" ht="15.75" customHeight="1">
      <c r="A168" s="36" t="s">
        <v>317</v>
      </c>
      <c r="B168" s="36" t="s">
        <v>318</v>
      </c>
      <c r="C168" s="36">
        <v>10.0</v>
      </c>
      <c r="D168" s="36" t="s">
        <v>32</v>
      </c>
      <c r="E168" s="43">
        <v>12.88</v>
      </c>
      <c r="F168" s="36">
        <v>9.0</v>
      </c>
      <c r="G168" s="44"/>
      <c r="H168" s="35">
        <f t="shared" si="1"/>
        <v>115.92</v>
      </c>
      <c r="I168" s="36"/>
      <c r="J168" s="36">
        <v>9.0</v>
      </c>
      <c r="K168" s="35">
        <f t="shared" si="2"/>
        <v>115.92</v>
      </c>
    </row>
    <row r="169" ht="15.75" customHeight="1">
      <c r="A169" s="36" t="s">
        <v>319</v>
      </c>
      <c r="B169" s="36" t="s">
        <v>320</v>
      </c>
      <c r="C169" s="36">
        <v>70.0</v>
      </c>
      <c r="D169" s="36" t="s">
        <v>32</v>
      </c>
      <c r="E169" s="43">
        <v>12.66</v>
      </c>
      <c r="F169" s="36">
        <v>60.0</v>
      </c>
      <c r="G169" s="44"/>
      <c r="H169" s="35">
        <f t="shared" si="1"/>
        <v>759.6</v>
      </c>
      <c r="I169" s="36"/>
      <c r="J169" s="36">
        <v>14.0</v>
      </c>
      <c r="K169" s="35">
        <f t="shared" si="2"/>
        <v>177.24</v>
      </c>
    </row>
    <row r="170" ht="15.75" customHeight="1">
      <c r="A170" s="36" t="s">
        <v>321</v>
      </c>
      <c r="B170" s="36" t="s">
        <v>322</v>
      </c>
      <c r="C170" s="36">
        <v>10.0</v>
      </c>
      <c r="D170" s="36" t="s">
        <v>32</v>
      </c>
      <c r="E170" s="43">
        <v>9.64</v>
      </c>
      <c r="F170" s="36">
        <v>40.0</v>
      </c>
      <c r="G170" s="44"/>
      <c r="H170" s="35">
        <f t="shared" si="1"/>
        <v>385.6</v>
      </c>
      <c r="I170" s="36"/>
      <c r="J170" s="36">
        <v>25.0</v>
      </c>
      <c r="K170" s="35">
        <f t="shared" si="2"/>
        <v>241</v>
      </c>
    </row>
    <row r="171" ht="15.75" customHeight="1">
      <c r="A171" s="36" t="s">
        <v>323</v>
      </c>
      <c r="B171" s="36" t="s">
        <v>324</v>
      </c>
      <c r="C171" s="36">
        <v>30.0</v>
      </c>
      <c r="D171" s="36" t="s">
        <v>32</v>
      </c>
      <c r="E171" s="43">
        <v>9.53</v>
      </c>
      <c r="F171" s="36">
        <v>70.0</v>
      </c>
      <c r="G171" s="44"/>
      <c r="H171" s="35">
        <f t="shared" si="1"/>
        <v>667.1</v>
      </c>
      <c r="I171" s="36"/>
      <c r="J171" s="36">
        <v>15.0</v>
      </c>
      <c r="K171" s="35">
        <f t="shared" si="2"/>
        <v>142.95</v>
      </c>
    </row>
    <row r="172" ht="15.75" customHeight="1">
      <c r="A172" s="36" t="s">
        <v>325</v>
      </c>
      <c r="B172" s="36" t="s">
        <v>326</v>
      </c>
      <c r="C172" s="36">
        <v>26.0</v>
      </c>
      <c r="D172" s="36" t="s">
        <v>32</v>
      </c>
      <c r="E172" s="43">
        <v>9.3</v>
      </c>
      <c r="F172" s="36">
        <v>60.0</v>
      </c>
      <c r="G172" s="44"/>
      <c r="H172" s="35">
        <f t="shared" si="1"/>
        <v>558</v>
      </c>
      <c r="I172" s="36"/>
      <c r="J172" s="36">
        <v>26.0</v>
      </c>
      <c r="K172" s="35">
        <f t="shared" si="2"/>
        <v>241.8</v>
      </c>
    </row>
    <row r="173" ht="15.75" customHeight="1">
      <c r="A173" s="46" t="s">
        <v>327</v>
      </c>
      <c r="B173" s="46" t="s">
        <v>328</v>
      </c>
      <c r="C173" s="46"/>
      <c r="D173" s="46" t="s">
        <v>32</v>
      </c>
      <c r="E173" s="47">
        <v>9.3</v>
      </c>
      <c r="F173" s="46">
        <v>90.0</v>
      </c>
      <c r="G173" s="48"/>
      <c r="H173" s="49">
        <f t="shared" si="1"/>
        <v>837</v>
      </c>
      <c r="I173" s="46" t="s">
        <v>329</v>
      </c>
      <c r="J173" s="46">
        <v>17.0</v>
      </c>
      <c r="K173" s="35">
        <f t="shared" si="2"/>
        <v>158.1</v>
      </c>
      <c r="L173" s="50" t="s">
        <v>330</v>
      </c>
    </row>
    <row r="174" ht="15.75" customHeight="1">
      <c r="A174" s="36" t="s">
        <v>331</v>
      </c>
      <c r="B174" s="36" t="s">
        <v>118</v>
      </c>
      <c r="C174" s="36">
        <v>350.0</v>
      </c>
      <c r="D174" s="36" t="s">
        <v>119</v>
      </c>
      <c r="E174" s="43">
        <v>18.23</v>
      </c>
      <c r="F174" s="36"/>
      <c r="G174" s="44"/>
      <c r="H174" s="35">
        <f t="shared" si="1"/>
        <v>0</v>
      </c>
      <c r="I174" s="36"/>
      <c r="J174" s="36"/>
      <c r="K174" s="35">
        <f t="shared" si="2"/>
        <v>0</v>
      </c>
    </row>
    <row r="175" ht="15.75" customHeight="1">
      <c r="A175" s="36"/>
      <c r="B175" s="45" t="s">
        <v>332</v>
      </c>
      <c r="C175" s="36"/>
      <c r="D175" s="36"/>
      <c r="E175" s="43"/>
      <c r="F175" s="36"/>
      <c r="G175" s="44"/>
      <c r="H175" s="35">
        <f t="shared" si="1"/>
        <v>0</v>
      </c>
      <c r="I175" s="36"/>
      <c r="J175" s="36"/>
      <c r="K175" s="35">
        <f t="shared" si="2"/>
        <v>0</v>
      </c>
    </row>
    <row r="176" ht="15.75" customHeight="1">
      <c r="A176" s="36"/>
      <c r="B176" s="45" t="s">
        <v>333</v>
      </c>
      <c r="C176" s="36"/>
      <c r="D176" s="36"/>
      <c r="E176" s="43"/>
      <c r="F176" s="36"/>
      <c r="G176" s="44"/>
      <c r="H176" s="35">
        <f t="shared" si="1"/>
        <v>0</v>
      </c>
      <c r="I176" s="36"/>
      <c r="J176" s="36"/>
      <c r="K176" s="35">
        <f t="shared" si="2"/>
        <v>0</v>
      </c>
    </row>
    <row r="177" ht="15.75" customHeight="1">
      <c r="A177" s="36"/>
      <c r="B177" s="45" t="s">
        <v>334</v>
      </c>
      <c r="C177" s="36"/>
      <c r="D177" s="36"/>
      <c r="E177" s="43"/>
      <c r="F177" s="36"/>
      <c r="G177" s="44"/>
      <c r="H177" s="35">
        <f t="shared" si="1"/>
        <v>0</v>
      </c>
      <c r="I177" s="36"/>
      <c r="J177" s="36"/>
      <c r="K177" s="35">
        <f t="shared" si="2"/>
        <v>0</v>
      </c>
    </row>
    <row r="178" ht="15.75" customHeight="1">
      <c r="A178" s="36" t="s">
        <v>335</v>
      </c>
      <c r="B178" s="36" t="s">
        <v>336</v>
      </c>
      <c r="C178" s="36">
        <v>13.0</v>
      </c>
      <c r="D178" s="36" t="s">
        <v>23</v>
      </c>
      <c r="E178" s="43">
        <v>37.98</v>
      </c>
      <c r="F178" s="36"/>
      <c r="G178" s="44"/>
      <c r="H178" s="35">
        <f t="shared" si="1"/>
        <v>0</v>
      </c>
      <c r="I178" s="36"/>
      <c r="J178" s="36"/>
      <c r="K178" s="35">
        <f t="shared" si="2"/>
        <v>0</v>
      </c>
    </row>
    <row r="179" ht="15.75" customHeight="1">
      <c r="A179" s="36" t="s">
        <v>337</v>
      </c>
      <c r="B179" s="36" t="s">
        <v>338</v>
      </c>
      <c r="C179" s="36">
        <v>22.0</v>
      </c>
      <c r="D179" s="36" t="s">
        <v>23</v>
      </c>
      <c r="E179" s="43">
        <v>27.29</v>
      </c>
      <c r="F179" s="36"/>
      <c r="G179" s="44"/>
      <c r="H179" s="35">
        <f t="shared" si="1"/>
        <v>0</v>
      </c>
      <c r="I179" s="36"/>
      <c r="J179" s="36"/>
      <c r="K179" s="35">
        <f t="shared" si="2"/>
        <v>0</v>
      </c>
    </row>
    <row r="180" ht="15.75" customHeight="1">
      <c r="A180" s="36" t="s">
        <v>339</v>
      </c>
      <c r="B180" s="36" t="s">
        <v>340</v>
      </c>
      <c r="C180" s="36">
        <v>15.0</v>
      </c>
      <c r="D180" s="36" t="s">
        <v>23</v>
      </c>
      <c r="E180" s="43">
        <v>15.9</v>
      </c>
      <c r="F180" s="36"/>
      <c r="G180" s="44"/>
      <c r="H180" s="35">
        <f t="shared" si="1"/>
        <v>0</v>
      </c>
      <c r="I180" s="36"/>
      <c r="J180" s="36"/>
      <c r="K180" s="35">
        <f t="shared" si="2"/>
        <v>0</v>
      </c>
    </row>
    <row r="181" ht="15.75" customHeight="1">
      <c r="A181" s="36" t="s">
        <v>341</v>
      </c>
      <c r="B181" s="36" t="s">
        <v>342</v>
      </c>
      <c r="C181" s="36">
        <v>105.0</v>
      </c>
      <c r="D181" s="36" t="s">
        <v>23</v>
      </c>
      <c r="E181" s="43">
        <v>11.48</v>
      </c>
      <c r="F181" s="36"/>
      <c r="G181" s="44"/>
      <c r="H181" s="35">
        <f t="shared" si="1"/>
        <v>0</v>
      </c>
      <c r="I181" s="36"/>
      <c r="J181" s="36"/>
      <c r="K181" s="35">
        <f t="shared" si="2"/>
        <v>0</v>
      </c>
    </row>
    <row r="182" ht="15.75" customHeight="1">
      <c r="A182" s="36" t="s">
        <v>343</v>
      </c>
      <c r="B182" s="36" t="s">
        <v>344</v>
      </c>
      <c r="C182" s="36">
        <v>15.0</v>
      </c>
      <c r="D182" s="36" t="s">
        <v>23</v>
      </c>
      <c r="E182" s="43">
        <v>11.2</v>
      </c>
      <c r="F182" s="36"/>
      <c r="G182" s="44"/>
      <c r="H182" s="35">
        <f t="shared" si="1"/>
        <v>0</v>
      </c>
      <c r="I182" s="36"/>
      <c r="J182" s="36"/>
      <c r="K182" s="35">
        <f t="shared" si="2"/>
        <v>0</v>
      </c>
    </row>
    <row r="183" ht="15.75" customHeight="1">
      <c r="A183" s="36" t="s">
        <v>345</v>
      </c>
      <c r="B183" s="36" t="s">
        <v>346</v>
      </c>
      <c r="C183" s="36">
        <v>25.0</v>
      </c>
      <c r="D183" s="36" t="s">
        <v>23</v>
      </c>
      <c r="E183" s="43">
        <v>8.31</v>
      </c>
      <c r="F183" s="36"/>
      <c r="G183" s="44"/>
      <c r="H183" s="35">
        <f t="shared" si="1"/>
        <v>0</v>
      </c>
      <c r="I183" s="36"/>
      <c r="J183" s="36"/>
      <c r="K183" s="35">
        <f t="shared" si="2"/>
        <v>0</v>
      </c>
    </row>
    <row r="184" ht="15.75" customHeight="1">
      <c r="A184" s="36" t="s">
        <v>347</v>
      </c>
      <c r="B184" s="36" t="s">
        <v>348</v>
      </c>
      <c r="C184" s="36">
        <v>10.0</v>
      </c>
      <c r="D184" s="36" t="s">
        <v>23</v>
      </c>
      <c r="E184" s="43">
        <v>7.79</v>
      </c>
      <c r="F184" s="36"/>
      <c r="G184" s="44"/>
      <c r="H184" s="35">
        <f t="shared" si="1"/>
        <v>0</v>
      </c>
      <c r="I184" s="36"/>
      <c r="J184" s="36"/>
      <c r="K184" s="35">
        <f t="shared" si="2"/>
        <v>0</v>
      </c>
    </row>
    <row r="185" ht="15.75" customHeight="1">
      <c r="A185" s="36" t="s">
        <v>349</v>
      </c>
      <c r="B185" s="36" t="s">
        <v>350</v>
      </c>
      <c r="C185" s="36">
        <v>30.0</v>
      </c>
      <c r="D185" s="36" t="s">
        <v>23</v>
      </c>
      <c r="E185" s="43">
        <v>4.19</v>
      </c>
      <c r="F185" s="36"/>
      <c r="G185" s="44"/>
      <c r="H185" s="35">
        <f t="shared" si="1"/>
        <v>0</v>
      </c>
      <c r="I185" s="36"/>
      <c r="J185" s="36"/>
      <c r="K185" s="35">
        <f t="shared" si="2"/>
        <v>0</v>
      </c>
    </row>
    <row r="186" ht="15.75" customHeight="1">
      <c r="A186" s="36" t="s">
        <v>351</v>
      </c>
      <c r="B186" s="36" t="s">
        <v>352</v>
      </c>
      <c r="C186" s="36">
        <v>15.0</v>
      </c>
      <c r="D186" s="36" t="s">
        <v>23</v>
      </c>
      <c r="E186" s="43">
        <v>6.12</v>
      </c>
      <c r="F186" s="36"/>
      <c r="G186" s="44"/>
      <c r="H186" s="35">
        <f t="shared" si="1"/>
        <v>0</v>
      </c>
      <c r="I186" s="36"/>
      <c r="J186" s="36"/>
      <c r="K186" s="35">
        <f t="shared" si="2"/>
        <v>0</v>
      </c>
    </row>
    <row r="187" ht="15.75" customHeight="1">
      <c r="A187" s="36" t="s">
        <v>353</v>
      </c>
      <c r="B187" s="36" t="s">
        <v>354</v>
      </c>
      <c r="C187" s="36">
        <v>15.0</v>
      </c>
      <c r="D187" s="36" t="s">
        <v>23</v>
      </c>
      <c r="E187" s="43">
        <v>7.08</v>
      </c>
      <c r="F187" s="36"/>
      <c r="G187" s="44"/>
      <c r="H187" s="35">
        <f t="shared" si="1"/>
        <v>0</v>
      </c>
      <c r="I187" s="36"/>
      <c r="J187" s="36"/>
      <c r="K187" s="35">
        <f t="shared" si="2"/>
        <v>0</v>
      </c>
    </row>
    <row r="188" ht="15.75" customHeight="1">
      <c r="A188" s="36" t="s">
        <v>355</v>
      </c>
      <c r="B188" s="36" t="s">
        <v>356</v>
      </c>
      <c r="C188" s="36">
        <v>6.0</v>
      </c>
      <c r="D188" s="36" t="s">
        <v>32</v>
      </c>
      <c r="E188" s="43">
        <v>94.17</v>
      </c>
      <c r="F188" s="36"/>
      <c r="G188" s="44"/>
      <c r="H188" s="35">
        <f t="shared" si="1"/>
        <v>0</v>
      </c>
      <c r="I188" s="36"/>
      <c r="J188" s="36"/>
      <c r="K188" s="35">
        <f t="shared" si="2"/>
        <v>0</v>
      </c>
    </row>
    <row r="189" ht="15.75" customHeight="1">
      <c r="A189" s="36" t="s">
        <v>357</v>
      </c>
      <c r="B189" s="36" t="s">
        <v>358</v>
      </c>
      <c r="C189" s="36">
        <v>4.0</v>
      </c>
      <c r="D189" s="36" t="s">
        <v>32</v>
      </c>
      <c r="E189" s="43">
        <v>98.17</v>
      </c>
      <c r="F189" s="36"/>
      <c r="G189" s="44"/>
      <c r="H189" s="35">
        <f t="shared" si="1"/>
        <v>0</v>
      </c>
      <c r="I189" s="36"/>
      <c r="J189" s="36"/>
      <c r="K189" s="35">
        <f t="shared" si="2"/>
        <v>0</v>
      </c>
    </row>
    <row r="190" ht="15.75" customHeight="1">
      <c r="A190" s="36"/>
      <c r="B190" s="45" t="s">
        <v>359</v>
      </c>
      <c r="C190" s="36"/>
      <c r="D190" s="36"/>
      <c r="E190" s="43"/>
      <c r="F190" s="36"/>
      <c r="G190" s="44"/>
      <c r="H190" s="35">
        <f t="shared" si="1"/>
        <v>0</v>
      </c>
      <c r="I190" s="36"/>
      <c r="J190" s="36"/>
      <c r="K190" s="35">
        <f t="shared" si="2"/>
        <v>0</v>
      </c>
    </row>
    <row r="191" ht="15.75" customHeight="1">
      <c r="A191" s="36"/>
      <c r="B191" s="45" t="s">
        <v>360</v>
      </c>
      <c r="C191" s="36"/>
      <c r="D191" s="36"/>
      <c r="E191" s="43"/>
      <c r="F191" s="36"/>
      <c r="G191" s="44"/>
      <c r="H191" s="35">
        <f t="shared" si="1"/>
        <v>0</v>
      </c>
      <c r="I191" s="36"/>
      <c r="J191" s="36"/>
      <c r="K191" s="35">
        <f t="shared" si="2"/>
        <v>0</v>
      </c>
    </row>
    <row r="192" ht="15.75" customHeight="1">
      <c r="A192" s="36"/>
      <c r="B192" s="45" t="s">
        <v>361</v>
      </c>
      <c r="C192" s="36"/>
      <c r="D192" s="36"/>
      <c r="E192" s="43"/>
      <c r="F192" s="36"/>
      <c r="G192" s="44"/>
      <c r="H192" s="35">
        <f t="shared" si="1"/>
        <v>0</v>
      </c>
      <c r="I192" s="36"/>
      <c r="J192" s="36"/>
      <c r="K192" s="35">
        <f t="shared" si="2"/>
        <v>0</v>
      </c>
    </row>
    <row r="193" ht="15.75" customHeight="1">
      <c r="A193" s="36" t="s">
        <v>362</v>
      </c>
      <c r="B193" s="36" t="s">
        <v>363</v>
      </c>
      <c r="C193" s="36">
        <v>11.0</v>
      </c>
      <c r="D193" s="36" t="s">
        <v>32</v>
      </c>
      <c r="E193" s="43">
        <v>243.23</v>
      </c>
      <c r="F193" s="36">
        <v>9.0</v>
      </c>
      <c r="G193" s="44"/>
      <c r="H193" s="35">
        <f t="shared" si="1"/>
        <v>2189.07</v>
      </c>
      <c r="I193" s="36"/>
      <c r="J193" s="36">
        <v>8.0</v>
      </c>
      <c r="K193" s="35">
        <f t="shared" si="2"/>
        <v>1945.84</v>
      </c>
    </row>
    <row r="194" ht="15.75" customHeight="1">
      <c r="A194" s="36" t="s">
        <v>364</v>
      </c>
      <c r="B194" s="36" t="s">
        <v>365</v>
      </c>
      <c r="C194" s="36">
        <v>1.0</v>
      </c>
      <c r="D194" s="36" t="s">
        <v>32</v>
      </c>
      <c r="E194" s="43">
        <v>500.45</v>
      </c>
      <c r="F194" s="36">
        <v>1.0</v>
      </c>
      <c r="G194" s="44"/>
      <c r="H194" s="35">
        <f t="shared" si="1"/>
        <v>500.45</v>
      </c>
      <c r="I194" s="36"/>
      <c r="J194" s="36">
        <v>1.0</v>
      </c>
      <c r="K194" s="35">
        <f t="shared" si="2"/>
        <v>500.45</v>
      </c>
    </row>
    <row r="195" ht="15.75" customHeight="1">
      <c r="A195" s="36" t="s">
        <v>366</v>
      </c>
      <c r="B195" s="36" t="s">
        <v>367</v>
      </c>
      <c r="C195" s="36">
        <v>6.0</v>
      </c>
      <c r="D195" s="36" t="s">
        <v>32</v>
      </c>
      <c r="E195" s="43">
        <v>144.64</v>
      </c>
      <c r="F195" s="36">
        <v>5.0</v>
      </c>
      <c r="G195" s="44"/>
      <c r="H195" s="35">
        <f t="shared" si="1"/>
        <v>723.2</v>
      </c>
      <c r="I195" s="36" t="s">
        <v>368</v>
      </c>
      <c r="J195" s="36"/>
      <c r="K195" s="35">
        <f t="shared" si="2"/>
        <v>0</v>
      </c>
    </row>
    <row r="196" ht="15.75" customHeight="1">
      <c r="A196" s="36" t="s">
        <v>369</v>
      </c>
      <c r="B196" s="36" t="s">
        <v>370</v>
      </c>
      <c r="C196" s="36">
        <v>18.0</v>
      </c>
      <c r="D196" s="36" t="s">
        <v>32</v>
      </c>
      <c r="E196" s="43">
        <v>200.43</v>
      </c>
      <c r="F196" s="36"/>
      <c r="G196" s="44"/>
      <c r="H196" s="35">
        <f t="shared" si="1"/>
        <v>0</v>
      </c>
      <c r="I196" s="36"/>
      <c r="J196" s="36"/>
      <c r="K196" s="35">
        <f t="shared" si="2"/>
        <v>0</v>
      </c>
    </row>
    <row r="197" ht="15.75" customHeight="1">
      <c r="A197" s="36" t="s">
        <v>371</v>
      </c>
      <c r="B197" s="36" t="s">
        <v>372</v>
      </c>
      <c r="C197" s="36">
        <v>2.0</v>
      </c>
      <c r="D197" s="36" t="s">
        <v>32</v>
      </c>
      <c r="E197" s="43">
        <v>263.05</v>
      </c>
      <c r="F197" s="36">
        <v>2.0</v>
      </c>
      <c r="G197" s="44"/>
      <c r="H197" s="35">
        <f t="shared" si="1"/>
        <v>526.1</v>
      </c>
      <c r="I197" s="36"/>
      <c r="J197" s="36">
        <v>2.0</v>
      </c>
      <c r="K197" s="35">
        <f t="shared" si="2"/>
        <v>526.1</v>
      </c>
    </row>
    <row r="198" ht="15.75" customHeight="1">
      <c r="A198" s="36" t="s">
        <v>373</v>
      </c>
      <c r="B198" s="36" t="s">
        <v>374</v>
      </c>
      <c r="C198" s="36">
        <v>5.0</v>
      </c>
      <c r="D198" s="36" t="s">
        <v>32</v>
      </c>
      <c r="E198" s="43">
        <v>170.16</v>
      </c>
      <c r="F198" s="36"/>
      <c r="G198" s="44"/>
      <c r="H198" s="35">
        <f t="shared" si="1"/>
        <v>0</v>
      </c>
      <c r="I198" s="36"/>
      <c r="J198" s="36"/>
      <c r="K198" s="35">
        <f t="shared" si="2"/>
        <v>0</v>
      </c>
    </row>
    <row r="199" ht="15.75" customHeight="1">
      <c r="A199" s="36"/>
      <c r="B199" s="36" t="s">
        <v>375</v>
      </c>
      <c r="C199" s="36"/>
      <c r="D199" s="36"/>
      <c r="E199" s="43"/>
      <c r="F199" s="36"/>
      <c r="G199" s="44"/>
      <c r="H199" s="35">
        <f t="shared" si="1"/>
        <v>0</v>
      </c>
      <c r="I199" s="36"/>
      <c r="J199" s="36"/>
      <c r="K199" s="35">
        <f t="shared" si="2"/>
        <v>0</v>
      </c>
    </row>
    <row r="200" ht="15.75" customHeight="1">
      <c r="A200" s="51" t="s">
        <v>376</v>
      </c>
      <c r="B200" s="51" t="s">
        <v>377</v>
      </c>
      <c r="C200" s="51">
        <v>11.0</v>
      </c>
      <c r="D200" s="51" t="s">
        <v>32</v>
      </c>
      <c r="E200" s="52">
        <v>127.35</v>
      </c>
      <c r="F200" s="51"/>
      <c r="G200" s="53"/>
      <c r="H200" s="35">
        <f t="shared" si="1"/>
        <v>0</v>
      </c>
      <c r="I200" s="36" t="s">
        <v>378</v>
      </c>
      <c r="J200" s="36"/>
      <c r="K200" s="35">
        <f t="shared" si="2"/>
        <v>0</v>
      </c>
    </row>
    <row r="201" ht="15.75" customHeight="1">
      <c r="A201" s="51" t="s">
        <v>379</v>
      </c>
      <c r="B201" s="51" t="s">
        <v>380</v>
      </c>
      <c r="C201" s="51">
        <v>11.0</v>
      </c>
      <c r="D201" s="51" t="s">
        <v>32</v>
      </c>
      <c r="E201" s="52">
        <v>55.78</v>
      </c>
      <c r="F201" s="36"/>
      <c r="G201" s="44"/>
      <c r="H201" s="35">
        <f t="shared" si="1"/>
        <v>0</v>
      </c>
      <c r="I201" s="36" t="s">
        <v>378</v>
      </c>
      <c r="J201" s="36"/>
      <c r="K201" s="35">
        <f t="shared" si="2"/>
        <v>0</v>
      </c>
    </row>
    <row r="202" ht="15.75" customHeight="1">
      <c r="A202" s="51" t="s">
        <v>381</v>
      </c>
      <c r="B202" s="51" t="s">
        <v>382</v>
      </c>
      <c r="C202" s="51">
        <v>11.0</v>
      </c>
      <c r="D202" s="51" t="s">
        <v>32</v>
      </c>
      <c r="E202" s="52">
        <v>52.85</v>
      </c>
      <c r="F202" s="36"/>
      <c r="G202" s="44"/>
      <c r="H202" s="35">
        <f t="shared" si="1"/>
        <v>0</v>
      </c>
      <c r="I202" s="36" t="s">
        <v>378</v>
      </c>
      <c r="J202" s="36"/>
      <c r="K202" s="35">
        <f t="shared" si="2"/>
        <v>0</v>
      </c>
    </row>
    <row r="203" ht="15.75" customHeight="1">
      <c r="A203" s="36"/>
      <c r="B203" s="45" t="s">
        <v>383</v>
      </c>
      <c r="C203" s="36"/>
      <c r="D203" s="36"/>
      <c r="E203" s="43"/>
      <c r="F203" s="36"/>
      <c r="G203" s="44"/>
      <c r="H203" s="35">
        <f t="shared" si="1"/>
        <v>0</v>
      </c>
      <c r="I203" s="36"/>
      <c r="J203" s="36"/>
      <c r="K203" s="35">
        <f t="shared" si="2"/>
        <v>0</v>
      </c>
    </row>
    <row r="204" ht="15.75" customHeight="1">
      <c r="A204" s="51" t="s">
        <v>384</v>
      </c>
      <c r="B204" s="51" t="s">
        <v>385</v>
      </c>
      <c r="C204" s="51">
        <v>2.0</v>
      </c>
      <c r="D204" s="51" t="s">
        <v>32</v>
      </c>
      <c r="E204" s="52">
        <v>206.81</v>
      </c>
      <c r="F204" s="36"/>
      <c r="G204" s="44"/>
      <c r="H204" s="35">
        <f t="shared" si="1"/>
        <v>0</v>
      </c>
      <c r="I204" s="36" t="s">
        <v>378</v>
      </c>
      <c r="J204" s="36"/>
      <c r="K204" s="35">
        <f t="shared" si="2"/>
        <v>0</v>
      </c>
    </row>
    <row r="205" ht="15.75" customHeight="1">
      <c r="A205" s="36" t="s">
        <v>386</v>
      </c>
      <c r="B205" s="36" t="s">
        <v>387</v>
      </c>
      <c r="C205" s="36">
        <v>2.0</v>
      </c>
      <c r="D205" s="36" t="s">
        <v>32</v>
      </c>
      <c r="E205" s="43">
        <v>8.38</v>
      </c>
      <c r="F205" s="36"/>
      <c r="G205" s="44"/>
      <c r="H205" s="35">
        <f t="shared" si="1"/>
        <v>0</v>
      </c>
      <c r="I205" s="36"/>
      <c r="J205" s="36"/>
      <c r="K205" s="35">
        <f t="shared" si="2"/>
        <v>0</v>
      </c>
    </row>
    <row r="206" ht="15.75" customHeight="1">
      <c r="A206" s="36" t="s">
        <v>388</v>
      </c>
      <c r="B206" s="36" t="s">
        <v>389</v>
      </c>
      <c r="C206" s="36">
        <v>2.0</v>
      </c>
      <c r="D206" s="36" t="s">
        <v>32</v>
      </c>
      <c r="E206" s="43">
        <v>608.07</v>
      </c>
      <c r="F206" s="36"/>
      <c r="G206" s="44"/>
      <c r="H206" s="35">
        <f t="shared" si="1"/>
        <v>0</v>
      </c>
      <c r="I206" s="36"/>
      <c r="J206" s="36"/>
      <c r="K206" s="35">
        <f t="shared" si="2"/>
        <v>0</v>
      </c>
    </row>
    <row r="207" ht="15.75" customHeight="1">
      <c r="A207" s="36"/>
      <c r="B207" s="36" t="s">
        <v>390</v>
      </c>
      <c r="C207" s="36"/>
      <c r="D207" s="36"/>
      <c r="E207" s="43"/>
      <c r="F207" s="36"/>
      <c r="G207" s="44"/>
      <c r="H207" s="35">
        <f t="shared" si="1"/>
        <v>0</v>
      </c>
      <c r="I207" s="36"/>
      <c r="J207" s="36"/>
      <c r="K207" s="35">
        <f t="shared" si="2"/>
        <v>0</v>
      </c>
    </row>
    <row r="208" ht="15.75" customHeight="1">
      <c r="A208" s="51" t="s">
        <v>391</v>
      </c>
      <c r="B208" s="51" t="s">
        <v>392</v>
      </c>
      <c r="C208" s="51">
        <v>2.0</v>
      </c>
      <c r="D208" s="51" t="s">
        <v>32</v>
      </c>
      <c r="E208" s="52">
        <v>141.04</v>
      </c>
      <c r="F208" s="36"/>
      <c r="G208" s="44"/>
      <c r="H208" s="35">
        <f t="shared" si="1"/>
        <v>0</v>
      </c>
      <c r="I208" s="36" t="s">
        <v>378</v>
      </c>
      <c r="J208" s="36"/>
      <c r="K208" s="35">
        <f t="shared" si="2"/>
        <v>0</v>
      </c>
    </row>
    <row r="209" ht="15.75" customHeight="1">
      <c r="A209" s="51" t="s">
        <v>393</v>
      </c>
      <c r="B209" s="51" t="s">
        <v>394</v>
      </c>
      <c r="C209" s="51">
        <v>3.0</v>
      </c>
      <c r="D209" s="51" t="s">
        <v>32</v>
      </c>
      <c r="E209" s="52">
        <v>142.72</v>
      </c>
      <c r="F209" s="36"/>
      <c r="G209" s="44"/>
      <c r="H209" s="35">
        <f t="shared" si="1"/>
        <v>0</v>
      </c>
      <c r="I209" s="36" t="s">
        <v>378</v>
      </c>
      <c r="J209" s="36"/>
      <c r="K209" s="35">
        <f t="shared" si="2"/>
        <v>0</v>
      </c>
    </row>
    <row r="210" ht="15.75" customHeight="1">
      <c r="A210" s="51" t="s">
        <v>395</v>
      </c>
      <c r="B210" s="51" t="s">
        <v>396</v>
      </c>
      <c r="C210" s="51">
        <v>5.0</v>
      </c>
      <c r="D210" s="51" t="s">
        <v>32</v>
      </c>
      <c r="E210" s="52">
        <v>565.85</v>
      </c>
      <c r="F210" s="36"/>
      <c r="G210" s="44"/>
      <c r="H210" s="35">
        <f t="shared" si="1"/>
        <v>0</v>
      </c>
      <c r="I210" s="36"/>
      <c r="J210" s="36"/>
      <c r="K210" s="35">
        <f t="shared" si="2"/>
        <v>0</v>
      </c>
    </row>
    <row r="211" ht="15.75" customHeight="1">
      <c r="A211" s="51" t="s">
        <v>397</v>
      </c>
      <c r="B211" s="51" t="s">
        <v>398</v>
      </c>
      <c r="C211" s="51">
        <v>5.0</v>
      </c>
      <c r="D211" s="51" t="s">
        <v>32</v>
      </c>
      <c r="E211" s="52">
        <v>164.95</v>
      </c>
      <c r="F211" s="36"/>
      <c r="G211" s="44"/>
      <c r="H211" s="35">
        <f t="shared" si="1"/>
        <v>0</v>
      </c>
      <c r="I211" s="36"/>
      <c r="J211" s="36"/>
      <c r="K211" s="35">
        <f t="shared" si="2"/>
        <v>0</v>
      </c>
    </row>
    <row r="212" ht="15.75" customHeight="1">
      <c r="A212" s="36"/>
      <c r="B212" s="36" t="s">
        <v>399</v>
      </c>
      <c r="C212" s="36"/>
      <c r="D212" s="36"/>
      <c r="E212" s="43"/>
      <c r="F212" s="36"/>
      <c r="G212" s="44"/>
      <c r="H212" s="35">
        <f t="shared" si="1"/>
        <v>0</v>
      </c>
      <c r="I212" s="36"/>
      <c r="J212" s="36"/>
      <c r="K212" s="35">
        <f t="shared" si="2"/>
        <v>0</v>
      </c>
    </row>
    <row r="213" ht="15.75" customHeight="1">
      <c r="A213" s="51" t="s">
        <v>400</v>
      </c>
      <c r="B213" s="51" t="s">
        <v>401</v>
      </c>
      <c r="C213" s="51">
        <v>1.0</v>
      </c>
      <c r="D213" s="51" t="s">
        <v>32</v>
      </c>
      <c r="E213" s="52">
        <v>424.1</v>
      </c>
      <c r="F213" s="36"/>
      <c r="G213" s="44"/>
      <c r="H213" s="35">
        <f t="shared" si="1"/>
        <v>0</v>
      </c>
      <c r="I213" s="36"/>
      <c r="J213" s="36"/>
      <c r="K213" s="35">
        <f t="shared" si="2"/>
        <v>0</v>
      </c>
    </row>
    <row r="214" ht="15.75" customHeight="1">
      <c r="A214" s="36" t="s">
        <v>402</v>
      </c>
      <c r="B214" s="36" t="s">
        <v>403</v>
      </c>
      <c r="C214" s="36">
        <v>1.0</v>
      </c>
      <c r="D214" s="36" t="s">
        <v>32</v>
      </c>
      <c r="E214" s="43">
        <v>400.77</v>
      </c>
      <c r="F214" s="36"/>
      <c r="G214" s="44"/>
      <c r="H214" s="35">
        <f t="shared" si="1"/>
        <v>0</v>
      </c>
      <c r="I214" s="36"/>
      <c r="J214" s="36"/>
      <c r="K214" s="35">
        <f t="shared" si="2"/>
        <v>0</v>
      </c>
    </row>
    <row r="215" ht="15.75" customHeight="1">
      <c r="A215" s="36" t="s">
        <v>404</v>
      </c>
      <c r="B215" s="36" t="s">
        <v>405</v>
      </c>
      <c r="C215" s="36">
        <v>1.0</v>
      </c>
      <c r="D215" s="36" t="s">
        <v>32</v>
      </c>
      <c r="E215" s="43">
        <v>347.87</v>
      </c>
      <c r="F215" s="36">
        <v>2.0</v>
      </c>
      <c r="G215" s="44" t="s">
        <v>153</v>
      </c>
      <c r="H215" s="35">
        <f t="shared" si="1"/>
        <v>0</v>
      </c>
      <c r="I215" s="36" t="s">
        <v>406</v>
      </c>
      <c r="J215" s="36"/>
      <c r="K215" s="35">
        <f t="shared" si="2"/>
        <v>0</v>
      </c>
    </row>
    <row r="216" ht="15.75" customHeight="1">
      <c r="A216" s="36" t="s">
        <v>407</v>
      </c>
      <c r="B216" s="36" t="s">
        <v>408</v>
      </c>
      <c r="C216" s="36">
        <v>1.0</v>
      </c>
      <c r="D216" s="36" t="s">
        <v>32</v>
      </c>
      <c r="E216" s="43">
        <v>59.99</v>
      </c>
      <c r="F216" s="36">
        <v>2.0</v>
      </c>
      <c r="G216" s="44" t="s">
        <v>153</v>
      </c>
      <c r="H216" s="35">
        <f t="shared" si="1"/>
        <v>0</v>
      </c>
      <c r="I216" s="36" t="s">
        <v>406</v>
      </c>
      <c r="J216" s="36"/>
      <c r="K216" s="35">
        <f t="shared" si="2"/>
        <v>0</v>
      </c>
    </row>
    <row r="217" ht="15.75" customHeight="1">
      <c r="A217" s="36"/>
      <c r="B217" s="45" t="s">
        <v>409</v>
      </c>
      <c r="C217" s="36"/>
      <c r="D217" s="36"/>
      <c r="E217" s="43"/>
      <c r="F217" s="36"/>
      <c r="G217" s="44"/>
      <c r="H217" s="35">
        <f t="shared" si="1"/>
        <v>0</v>
      </c>
      <c r="I217" s="36"/>
      <c r="J217" s="36"/>
      <c r="K217" s="35">
        <f t="shared" si="2"/>
        <v>0</v>
      </c>
    </row>
    <row r="218" ht="15.75" customHeight="1">
      <c r="A218" s="51" t="s">
        <v>410</v>
      </c>
      <c r="B218" s="51" t="s">
        <v>411</v>
      </c>
      <c r="C218" s="51">
        <v>18.0</v>
      </c>
      <c r="D218" s="51" t="s">
        <v>32</v>
      </c>
      <c r="E218" s="52">
        <v>249.84</v>
      </c>
      <c r="F218" s="36"/>
      <c r="G218" s="44"/>
      <c r="H218" s="35">
        <f t="shared" si="1"/>
        <v>0</v>
      </c>
      <c r="I218" s="36"/>
      <c r="J218" s="36"/>
      <c r="K218" s="35">
        <f t="shared" si="2"/>
        <v>0</v>
      </c>
    </row>
    <row r="219" ht="15.75" customHeight="1">
      <c r="A219" s="51" t="s">
        <v>412</v>
      </c>
      <c r="B219" s="51" t="s">
        <v>413</v>
      </c>
      <c r="C219" s="51">
        <v>18.0</v>
      </c>
      <c r="D219" s="51" t="s">
        <v>32</v>
      </c>
      <c r="E219" s="52">
        <v>1034.47</v>
      </c>
      <c r="F219" s="36"/>
      <c r="G219" s="44"/>
      <c r="H219" s="35">
        <f t="shared" si="1"/>
        <v>0</v>
      </c>
      <c r="I219" s="36"/>
      <c r="J219" s="36"/>
      <c r="K219" s="35">
        <f t="shared" si="2"/>
        <v>0</v>
      </c>
    </row>
    <row r="220" ht="15.75" customHeight="1">
      <c r="A220" s="36" t="s">
        <v>414</v>
      </c>
      <c r="B220" s="36" t="s">
        <v>415</v>
      </c>
      <c r="C220" s="36">
        <v>18.0</v>
      </c>
      <c r="D220" s="36" t="s">
        <v>32</v>
      </c>
      <c r="E220" s="43">
        <v>193.49</v>
      </c>
      <c r="F220" s="36">
        <v>18.0</v>
      </c>
      <c r="G220" s="44" t="s">
        <v>153</v>
      </c>
      <c r="H220" s="35">
        <f t="shared" si="1"/>
        <v>0</v>
      </c>
      <c r="I220" s="36" t="s">
        <v>406</v>
      </c>
      <c r="J220" s="36"/>
      <c r="K220" s="35">
        <f t="shared" si="2"/>
        <v>0</v>
      </c>
    </row>
    <row r="221" ht="15.75" customHeight="1">
      <c r="A221" s="36" t="s">
        <v>416</v>
      </c>
      <c r="B221" s="36" t="s">
        <v>417</v>
      </c>
      <c r="C221" s="36">
        <v>1.0</v>
      </c>
      <c r="D221" s="36" t="s">
        <v>32</v>
      </c>
      <c r="E221" s="43">
        <v>688.46</v>
      </c>
      <c r="F221" s="36"/>
      <c r="G221" s="44"/>
      <c r="H221" s="35">
        <f t="shared" si="1"/>
        <v>0</v>
      </c>
      <c r="I221" s="36"/>
      <c r="J221" s="36"/>
      <c r="K221" s="35">
        <f t="shared" si="2"/>
        <v>0</v>
      </c>
    </row>
    <row r="222" ht="15.75" customHeight="1">
      <c r="A222" s="36" t="s">
        <v>418</v>
      </c>
      <c r="B222" s="36" t="s">
        <v>419</v>
      </c>
      <c r="C222" s="36">
        <v>1.0</v>
      </c>
      <c r="D222" s="36" t="s">
        <v>32</v>
      </c>
      <c r="E222" s="43">
        <v>115.24</v>
      </c>
      <c r="F222" s="36"/>
      <c r="G222" s="44"/>
      <c r="H222" s="35">
        <f t="shared" si="1"/>
        <v>0</v>
      </c>
      <c r="I222" s="36"/>
      <c r="J222" s="36"/>
      <c r="K222" s="35">
        <f t="shared" si="2"/>
        <v>0</v>
      </c>
    </row>
    <row r="223" ht="15.75" customHeight="1">
      <c r="A223" s="36"/>
      <c r="B223" s="36" t="s">
        <v>420</v>
      </c>
      <c r="C223" s="36"/>
      <c r="D223" s="36"/>
      <c r="E223" s="43"/>
      <c r="F223" s="36"/>
      <c r="G223" s="44"/>
      <c r="H223" s="35">
        <f t="shared" si="1"/>
        <v>0</v>
      </c>
      <c r="I223" s="36"/>
      <c r="J223" s="36"/>
      <c r="K223" s="35">
        <f t="shared" si="2"/>
        <v>0</v>
      </c>
    </row>
    <row r="224" ht="15.75" customHeight="1">
      <c r="A224" s="36" t="s">
        <v>421</v>
      </c>
      <c r="B224" s="36" t="s">
        <v>422</v>
      </c>
      <c r="C224" s="36">
        <v>1.0</v>
      </c>
      <c r="D224" s="36" t="s">
        <v>32</v>
      </c>
      <c r="E224" s="43">
        <v>119.26</v>
      </c>
      <c r="F224" s="36"/>
      <c r="G224" s="44"/>
      <c r="H224" s="35">
        <f t="shared" si="1"/>
        <v>0</v>
      </c>
      <c r="I224" s="36"/>
      <c r="J224" s="36"/>
      <c r="K224" s="35">
        <f t="shared" si="2"/>
        <v>0</v>
      </c>
    </row>
    <row r="225" ht="15.75" customHeight="1">
      <c r="A225" s="36" t="s">
        <v>423</v>
      </c>
      <c r="B225" s="36" t="s">
        <v>424</v>
      </c>
      <c r="C225" s="36">
        <v>1.0</v>
      </c>
      <c r="D225" s="36" t="s">
        <v>32</v>
      </c>
      <c r="E225" s="43">
        <v>123.92</v>
      </c>
      <c r="F225" s="36"/>
      <c r="G225" s="44"/>
      <c r="H225" s="35">
        <f t="shared" si="1"/>
        <v>0</v>
      </c>
      <c r="I225" s="36"/>
      <c r="J225" s="36"/>
      <c r="K225" s="35">
        <f t="shared" si="2"/>
        <v>0</v>
      </c>
    </row>
    <row r="226" ht="15.75" customHeight="1">
      <c r="A226" s="36"/>
      <c r="B226" s="45" t="s">
        <v>425</v>
      </c>
      <c r="C226" s="36"/>
      <c r="D226" s="36"/>
      <c r="E226" s="43"/>
      <c r="F226" s="36"/>
      <c r="G226" s="44"/>
      <c r="H226" s="35">
        <f t="shared" si="1"/>
        <v>0</v>
      </c>
      <c r="I226" s="36"/>
      <c r="J226" s="36"/>
      <c r="K226" s="35">
        <f t="shared" si="2"/>
        <v>0</v>
      </c>
    </row>
    <row r="227" ht="15.75" customHeight="1">
      <c r="A227" s="51" t="s">
        <v>426</v>
      </c>
      <c r="B227" s="51" t="s">
        <v>427</v>
      </c>
      <c r="C227" s="51">
        <v>6.0</v>
      </c>
      <c r="D227" s="51" t="s">
        <v>32</v>
      </c>
      <c r="E227" s="52">
        <v>269.31</v>
      </c>
      <c r="F227" s="36"/>
      <c r="G227" s="44"/>
      <c r="H227" s="35">
        <f t="shared" si="1"/>
        <v>0</v>
      </c>
      <c r="I227" s="36" t="s">
        <v>378</v>
      </c>
      <c r="J227" s="36"/>
      <c r="K227" s="35">
        <f t="shared" si="2"/>
        <v>0</v>
      </c>
    </row>
    <row r="228" ht="15.75" customHeight="1">
      <c r="A228" s="51" t="s">
        <v>428</v>
      </c>
      <c r="B228" s="51" t="s">
        <v>429</v>
      </c>
      <c r="C228" s="51">
        <v>6.0</v>
      </c>
      <c r="D228" s="51" t="s">
        <v>32</v>
      </c>
      <c r="E228" s="52">
        <v>216.68</v>
      </c>
      <c r="F228" s="36"/>
      <c r="G228" s="44"/>
      <c r="H228" s="35">
        <f t="shared" si="1"/>
        <v>0</v>
      </c>
      <c r="I228" s="36" t="s">
        <v>378</v>
      </c>
      <c r="J228" s="36"/>
      <c r="K228" s="35">
        <f t="shared" si="2"/>
        <v>0</v>
      </c>
    </row>
    <row r="229" ht="15.75" customHeight="1">
      <c r="A229" s="51" t="s">
        <v>430</v>
      </c>
      <c r="B229" s="51" t="s">
        <v>431</v>
      </c>
      <c r="C229" s="51">
        <v>5.0</v>
      </c>
      <c r="D229" s="51" t="s">
        <v>32</v>
      </c>
      <c r="E229" s="52">
        <v>278.41</v>
      </c>
      <c r="F229" s="36"/>
      <c r="G229" s="44"/>
      <c r="H229" s="35">
        <f t="shared" si="1"/>
        <v>0</v>
      </c>
      <c r="I229" s="36" t="s">
        <v>378</v>
      </c>
      <c r="J229" s="36"/>
      <c r="K229" s="35">
        <f t="shared" si="2"/>
        <v>0</v>
      </c>
    </row>
    <row r="230" ht="15.75" customHeight="1">
      <c r="A230" s="51" t="s">
        <v>432</v>
      </c>
      <c r="B230" s="51" t="s">
        <v>433</v>
      </c>
      <c r="C230" s="51">
        <v>2.0</v>
      </c>
      <c r="D230" s="51" t="s">
        <v>32</v>
      </c>
      <c r="E230" s="52">
        <v>225.13</v>
      </c>
      <c r="F230" s="36"/>
      <c r="G230" s="44"/>
      <c r="H230" s="35">
        <f t="shared" si="1"/>
        <v>0</v>
      </c>
      <c r="I230" s="36" t="s">
        <v>378</v>
      </c>
      <c r="J230" s="36"/>
      <c r="K230" s="35">
        <f t="shared" si="2"/>
        <v>0</v>
      </c>
    </row>
    <row r="231" ht="15.75" customHeight="1">
      <c r="A231" s="36" t="s">
        <v>434</v>
      </c>
      <c r="B231" s="36" t="s">
        <v>435</v>
      </c>
      <c r="C231" s="36">
        <v>2.0</v>
      </c>
      <c r="D231" s="36" t="s">
        <v>32</v>
      </c>
      <c r="E231" s="43">
        <v>172.07</v>
      </c>
      <c r="F231" s="36"/>
      <c r="G231" s="44"/>
      <c r="H231" s="35">
        <f t="shared" si="1"/>
        <v>0</v>
      </c>
      <c r="I231" s="36"/>
      <c r="J231" s="36"/>
      <c r="K231" s="35">
        <f t="shared" si="2"/>
        <v>0</v>
      </c>
    </row>
    <row r="232" ht="15.75" customHeight="1">
      <c r="A232" s="36" t="s">
        <v>436</v>
      </c>
      <c r="B232" s="36" t="s">
        <v>437</v>
      </c>
      <c r="C232" s="36">
        <v>2.0</v>
      </c>
      <c r="D232" s="36" t="s">
        <v>32</v>
      </c>
      <c r="E232" s="43">
        <v>540.66</v>
      </c>
      <c r="F232" s="36"/>
      <c r="G232" s="44"/>
      <c r="H232" s="35">
        <f t="shared" si="1"/>
        <v>0</v>
      </c>
      <c r="I232" s="36"/>
      <c r="J232" s="36"/>
      <c r="K232" s="35">
        <f t="shared" si="2"/>
        <v>0</v>
      </c>
    </row>
    <row r="233" ht="15.75" customHeight="1">
      <c r="A233" s="36" t="s">
        <v>438</v>
      </c>
      <c r="B233" s="36" t="s">
        <v>439</v>
      </c>
      <c r="C233" s="36">
        <v>1.0</v>
      </c>
      <c r="D233" s="36" t="s">
        <v>32</v>
      </c>
      <c r="E233" s="43">
        <v>384.93</v>
      </c>
      <c r="F233" s="36"/>
      <c r="G233" s="44"/>
      <c r="H233" s="35">
        <f t="shared" si="1"/>
        <v>0</v>
      </c>
      <c r="I233" s="36"/>
      <c r="J233" s="36"/>
      <c r="K233" s="35">
        <f t="shared" si="2"/>
        <v>0</v>
      </c>
    </row>
    <row r="234" ht="15.75" customHeight="1">
      <c r="A234" s="36" t="s">
        <v>440</v>
      </c>
      <c r="B234" s="36" t="s">
        <v>441</v>
      </c>
      <c r="C234" s="36">
        <v>1.0</v>
      </c>
      <c r="D234" s="36" t="s">
        <v>32</v>
      </c>
      <c r="E234" s="43">
        <v>275.36</v>
      </c>
      <c r="F234" s="36"/>
      <c r="G234" s="44"/>
      <c r="H234" s="35">
        <f t="shared" si="1"/>
        <v>0</v>
      </c>
      <c r="I234" s="36"/>
      <c r="J234" s="36"/>
      <c r="K234" s="35">
        <f t="shared" si="2"/>
        <v>0</v>
      </c>
    </row>
    <row r="235" ht="15.75" customHeight="1">
      <c r="A235" s="36" t="s">
        <v>442</v>
      </c>
      <c r="B235" s="36" t="s">
        <v>443</v>
      </c>
      <c r="C235" s="36">
        <v>4.0</v>
      </c>
      <c r="D235" s="36" t="s">
        <v>32</v>
      </c>
      <c r="E235" s="43">
        <v>450.48</v>
      </c>
      <c r="F235" s="36"/>
      <c r="G235" s="44"/>
      <c r="H235" s="35">
        <f t="shared" si="1"/>
        <v>0</v>
      </c>
      <c r="I235" s="36"/>
      <c r="J235" s="36"/>
      <c r="K235" s="35">
        <f t="shared" si="2"/>
        <v>0</v>
      </c>
    </row>
    <row r="236" ht="15.75" customHeight="1">
      <c r="A236" s="36" t="s">
        <v>444</v>
      </c>
      <c r="B236" s="36" t="s">
        <v>445</v>
      </c>
      <c r="C236" s="36">
        <v>5.0</v>
      </c>
      <c r="D236" s="36" t="s">
        <v>32</v>
      </c>
      <c r="E236" s="43">
        <v>114.22</v>
      </c>
      <c r="F236" s="36"/>
      <c r="G236" s="44"/>
      <c r="H236" s="35">
        <f t="shared" si="1"/>
        <v>0</v>
      </c>
      <c r="I236" s="36"/>
      <c r="J236" s="36"/>
      <c r="K236" s="35">
        <f t="shared" si="2"/>
        <v>0</v>
      </c>
    </row>
    <row r="237" ht="15.75" customHeight="1">
      <c r="A237" s="36" t="s">
        <v>446</v>
      </c>
      <c r="B237" s="36" t="s">
        <v>447</v>
      </c>
      <c r="C237" s="36">
        <v>10.0</v>
      </c>
      <c r="D237" s="36" t="s">
        <v>32</v>
      </c>
      <c r="E237" s="43">
        <v>87.95</v>
      </c>
      <c r="F237" s="36"/>
      <c r="G237" s="44"/>
      <c r="H237" s="35">
        <f t="shared" si="1"/>
        <v>0</v>
      </c>
      <c r="I237" s="36"/>
      <c r="J237" s="36"/>
      <c r="K237" s="35">
        <f t="shared" si="2"/>
        <v>0</v>
      </c>
    </row>
    <row r="238" ht="15.75" customHeight="1">
      <c r="A238" s="51" t="s">
        <v>448</v>
      </c>
      <c r="B238" s="51" t="s">
        <v>449</v>
      </c>
      <c r="C238" s="51">
        <v>10.0</v>
      </c>
      <c r="D238" s="51" t="s">
        <v>32</v>
      </c>
      <c r="E238" s="52">
        <v>370.02</v>
      </c>
      <c r="F238" s="36"/>
      <c r="G238" s="44"/>
      <c r="H238" s="35">
        <f t="shared" si="1"/>
        <v>0</v>
      </c>
      <c r="I238" s="36" t="s">
        <v>378</v>
      </c>
      <c r="J238" s="36"/>
      <c r="K238" s="35">
        <f t="shared" si="2"/>
        <v>0</v>
      </c>
    </row>
    <row r="239" ht="15.75" customHeight="1">
      <c r="A239" s="36" t="s">
        <v>450</v>
      </c>
      <c r="B239" s="36" t="s">
        <v>451</v>
      </c>
      <c r="C239" s="36">
        <v>1.0</v>
      </c>
      <c r="D239" s="36" t="s">
        <v>32</v>
      </c>
      <c r="E239" s="43">
        <v>46.3</v>
      </c>
      <c r="F239" s="36"/>
      <c r="G239" s="44"/>
      <c r="H239" s="35">
        <f t="shared" si="1"/>
        <v>0</v>
      </c>
      <c r="I239" s="36"/>
      <c r="J239" s="36"/>
      <c r="K239" s="35">
        <f t="shared" si="2"/>
        <v>0</v>
      </c>
    </row>
    <row r="240" ht="15.75" customHeight="1">
      <c r="A240" s="36" t="s">
        <v>452</v>
      </c>
      <c r="B240" s="45" t="s">
        <v>453</v>
      </c>
      <c r="C240" s="36">
        <v>1.0</v>
      </c>
      <c r="D240" s="36" t="s">
        <v>32</v>
      </c>
      <c r="E240" s="43">
        <v>287.54</v>
      </c>
      <c r="F240" s="36"/>
      <c r="G240" s="44"/>
      <c r="H240" s="35">
        <f t="shared" si="1"/>
        <v>0</v>
      </c>
      <c r="I240" s="36"/>
      <c r="J240" s="36"/>
      <c r="K240" s="35">
        <f t="shared" si="2"/>
        <v>0</v>
      </c>
    </row>
    <row r="241" ht="15.75" customHeight="1">
      <c r="A241" s="36" t="s">
        <v>454</v>
      </c>
      <c r="B241" s="36" t="s">
        <v>455</v>
      </c>
      <c r="C241" s="36">
        <v>14.0</v>
      </c>
      <c r="D241" s="36" t="s">
        <v>32</v>
      </c>
      <c r="E241" s="43">
        <v>13.88</v>
      </c>
      <c r="F241" s="36"/>
      <c r="G241" s="44"/>
      <c r="H241" s="35">
        <f t="shared" si="1"/>
        <v>0</v>
      </c>
      <c r="I241" s="36"/>
      <c r="J241" s="36"/>
      <c r="K241" s="35">
        <f t="shared" si="2"/>
        <v>0</v>
      </c>
    </row>
    <row r="242" ht="15.75" customHeight="1">
      <c r="A242" s="36" t="s">
        <v>456</v>
      </c>
      <c r="B242" s="36" t="s">
        <v>457</v>
      </c>
      <c r="C242" s="36">
        <v>1.0</v>
      </c>
      <c r="D242" s="36" t="s">
        <v>32</v>
      </c>
      <c r="E242" s="43">
        <v>31.53</v>
      </c>
      <c r="F242" s="36"/>
      <c r="G242" s="44"/>
      <c r="H242" s="35">
        <f t="shared" si="1"/>
        <v>0</v>
      </c>
      <c r="I242" s="36"/>
      <c r="J242" s="36"/>
      <c r="K242" s="35">
        <f t="shared" si="2"/>
        <v>0</v>
      </c>
    </row>
    <row r="243" ht="15.75" customHeight="1">
      <c r="A243" s="36" t="s">
        <v>458</v>
      </c>
      <c r="B243" s="36" t="s">
        <v>459</v>
      </c>
      <c r="C243" s="36">
        <v>12.0</v>
      </c>
      <c r="D243" s="36" t="s">
        <v>32</v>
      </c>
      <c r="E243" s="43">
        <v>32.2</v>
      </c>
      <c r="F243" s="36"/>
      <c r="G243" s="44"/>
      <c r="H243" s="35">
        <f t="shared" si="1"/>
        <v>0</v>
      </c>
      <c r="I243" s="36" t="s">
        <v>460</v>
      </c>
      <c r="J243" s="36"/>
      <c r="K243" s="35">
        <f t="shared" si="2"/>
        <v>0</v>
      </c>
    </row>
    <row r="244" ht="15.75" customHeight="1">
      <c r="A244" s="36" t="s">
        <v>461</v>
      </c>
      <c r="B244" s="36" t="s">
        <v>462</v>
      </c>
      <c r="C244" s="36">
        <v>5.0</v>
      </c>
      <c r="D244" s="36" t="s">
        <v>32</v>
      </c>
      <c r="E244" s="43">
        <v>34.99</v>
      </c>
      <c r="F244" s="36"/>
      <c r="G244" s="44"/>
      <c r="H244" s="35">
        <f t="shared" si="1"/>
        <v>0</v>
      </c>
      <c r="I244" s="36"/>
      <c r="J244" s="36"/>
      <c r="K244" s="35">
        <f t="shared" si="2"/>
        <v>0</v>
      </c>
    </row>
    <row r="245" ht="15.75" customHeight="1">
      <c r="A245" s="36" t="s">
        <v>463</v>
      </c>
      <c r="B245" s="36" t="s">
        <v>464</v>
      </c>
      <c r="C245" s="36">
        <v>2.0</v>
      </c>
      <c r="D245" s="36" t="s">
        <v>32</v>
      </c>
      <c r="E245" s="43">
        <v>63.63</v>
      </c>
      <c r="F245" s="36"/>
      <c r="G245" s="44"/>
      <c r="H245" s="35">
        <f t="shared" si="1"/>
        <v>0</v>
      </c>
      <c r="I245" s="36"/>
      <c r="J245" s="36"/>
      <c r="K245" s="35">
        <f t="shared" si="2"/>
        <v>0</v>
      </c>
    </row>
    <row r="246" ht="15.75" customHeight="1">
      <c r="A246" s="36"/>
      <c r="B246" s="36" t="s">
        <v>465</v>
      </c>
      <c r="C246" s="36"/>
      <c r="D246" s="36"/>
      <c r="E246" s="43"/>
      <c r="F246" s="36"/>
      <c r="G246" s="44"/>
      <c r="H246" s="35">
        <f t="shared" si="1"/>
        <v>0</v>
      </c>
      <c r="I246" s="36"/>
      <c r="J246" s="36"/>
      <c r="K246" s="35">
        <f t="shared" si="2"/>
        <v>0</v>
      </c>
    </row>
    <row r="247" ht="15.75" customHeight="1">
      <c r="A247" s="51" t="s">
        <v>466</v>
      </c>
      <c r="B247" s="51" t="s">
        <v>467</v>
      </c>
      <c r="C247" s="51">
        <v>5.0</v>
      </c>
      <c r="D247" s="51" t="s">
        <v>32</v>
      </c>
      <c r="E247" s="52">
        <v>2880.39</v>
      </c>
      <c r="F247" s="36"/>
      <c r="G247" s="44"/>
      <c r="H247" s="35">
        <f t="shared" si="1"/>
        <v>0</v>
      </c>
      <c r="I247" s="36" t="s">
        <v>468</v>
      </c>
      <c r="J247" s="36"/>
      <c r="K247" s="35">
        <f t="shared" si="2"/>
        <v>0</v>
      </c>
    </row>
    <row r="248" ht="15.75" customHeight="1">
      <c r="A248" s="51" t="s">
        <v>469</v>
      </c>
      <c r="B248" s="51" t="s">
        <v>470</v>
      </c>
      <c r="C248" s="51">
        <v>10.0</v>
      </c>
      <c r="D248" s="51" t="s">
        <v>32</v>
      </c>
      <c r="E248" s="52">
        <v>258.93</v>
      </c>
      <c r="F248" s="36"/>
      <c r="G248" s="44"/>
      <c r="H248" s="35">
        <f t="shared" si="1"/>
        <v>0</v>
      </c>
      <c r="I248" s="36" t="s">
        <v>468</v>
      </c>
      <c r="J248" s="36"/>
      <c r="K248" s="35">
        <f t="shared" si="2"/>
        <v>0</v>
      </c>
    </row>
    <row r="249" ht="15.75" customHeight="1">
      <c r="A249" s="36" t="s">
        <v>471</v>
      </c>
      <c r="B249" s="36" t="s">
        <v>472</v>
      </c>
      <c r="C249" s="36">
        <v>10.0</v>
      </c>
      <c r="D249" s="36" t="s">
        <v>32</v>
      </c>
      <c r="E249" s="43">
        <v>134.31</v>
      </c>
      <c r="F249" s="36"/>
      <c r="G249" s="44"/>
      <c r="H249" s="35">
        <f t="shared" si="1"/>
        <v>0</v>
      </c>
      <c r="I249" s="36"/>
      <c r="J249" s="36"/>
      <c r="K249" s="35">
        <f t="shared" si="2"/>
        <v>0</v>
      </c>
    </row>
    <row r="250" ht="15.75" customHeight="1">
      <c r="A250" s="36"/>
      <c r="B250" s="45" t="s">
        <v>473</v>
      </c>
      <c r="C250" s="36"/>
      <c r="D250" s="36"/>
      <c r="E250" s="43"/>
      <c r="F250" s="36"/>
      <c r="G250" s="44"/>
      <c r="H250" s="35">
        <f t="shared" si="1"/>
        <v>0</v>
      </c>
      <c r="I250" s="36"/>
      <c r="J250" s="36"/>
      <c r="K250" s="35">
        <f t="shared" si="2"/>
        <v>0</v>
      </c>
    </row>
    <row r="251" ht="15.75" customHeight="1">
      <c r="A251" s="36" t="s">
        <v>474</v>
      </c>
      <c r="B251" s="36" t="s">
        <v>475</v>
      </c>
      <c r="C251" s="36">
        <v>4.0</v>
      </c>
      <c r="D251" s="36" t="s">
        <v>32</v>
      </c>
      <c r="E251" s="43">
        <v>347.0</v>
      </c>
      <c r="F251" s="36"/>
      <c r="G251" s="44"/>
      <c r="H251" s="35">
        <f t="shared" si="1"/>
        <v>0</v>
      </c>
      <c r="I251" s="36"/>
      <c r="J251" s="36"/>
      <c r="K251" s="35">
        <f t="shared" si="2"/>
        <v>0</v>
      </c>
    </row>
    <row r="252" ht="15.75" customHeight="1">
      <c r="A252" s="36" t="s">
        <v>476</v>
      </c>
      <c r="B252" s="36" t="s">
        <v>470</v>
      </c>
      <c r="C252" s="36">
        <v>4.0</v>
      </c>
      <c r="D252" s="36" t="s">
        <v>32</v>
      </c>
      <c r="E252" s="43">
        <v>258.93</v>
      </c>
      <c r="F252" s="36"/>
      <c r="G252" s="44"/>
      <c r="H252" s="35">
        <f t="shared" si="1"/>
        <v>0</v>
      </c>
      <c r="I252" s="36"/>
      <c r="J252" s="36"/>
      <c r="K252" s="35">
        <f t="shared" si="2"/>
        <v>0</v>
      </c>
    </row>
    <row r="253" ht="15.75" customHeight="1">
      <c r="A253" s="36" t="s">
        <v>477</v>
      </c>
      <c r="B253" s="36" t="s">
        <v>472</v>
      </c>
      <c r="C253" s="36">
        <v>4.0</v>
      </c>
      <c r="D253" s="36" t="s">
        <v>32</v>
      </c>
      <c r="E253" s="43">
        <v>134.31</v>
      </c>
      <c r="F253" s="36"/>
      <c r="G253" s="44"/>
      <c r="H253" s="35">
        <f t="shared" si="1"/>
        <v>0</v>
      </c>
      <c r="I253" s="36"/>
      <c r="J253" s="36"/>
      <c r="K253" s="35">
        <f t="shared" si="2"/>
        <v>0</v>
      </c>
    </row>
    <row r="254" ht="15.75" customHeight="1">
      <c r="A254" s="36"/>
      <c r="B254" s="36" t="s">
        <v>478</v>
      </c>
      <c r="C254" s="36"/>
      <c r="D254" s="36"/>
      <c r="E254" s="43"/>
      <c r="F254" s="36"/>
      <c r="G254" s="44"/>
      <c r="H254" s="35">
        <f t="shared" si="1"/>
        <v>0</v>
      </c>
      <c r="I254" s="36"/>
      <c r="J254" s="36"/>
      <c r="K254" s="35">
        <f t="shared" si="2"/>
        <v>0</v>
      </c>
    </row>
    <row r="255" ht="15.75" customHeight="1">
      <c r="A255" s="36" t="s">
        <v>479</v>
      </c>
      <c r="B255" s="36" t="s">
        <v>480</v>
      </c>
      <c r="C255" s="36">
        <v>1.0</v>
      </c>
      <c r="D255" s="36" t="s">
        <v>32</v>
      </c>
      <c r="E255" s="43">
        <v>2791.29</v>
      </c>
      <c r="F255" s="36">
        <v>1.0</v>
      </c>
      <c r="G255" s="44" t="s">
        <v>153</v>
      </c>
      <c r="H255" s="35">
        <f t="shared" si="1"/>
        <v>0</v>
      </c>
      <c r="I255" s="36" t="s">
        <v>406</v>
      </c>
      <c r="J255" s="36"/>
      <c r="K255" s="35">
        <f t="shared" si="2"/>
        <v>0</v>
      </c>
    </row>
    <row r="256" ht="15.75" customHeight="1">
      <c r="A256" s="36" t="s">
        <v>481</v>
      </c>
      <c r="B256" s="36" t="s">
        <v>482</v>
      </c>
      <c r="C256" s="36">
        <v>70.0</v>
      </c>
      <c r="D256" s="36" t="s">
        <v>23</v>
      </c>
      <c r="E256" s="43">
        <v>17.16</v>
      </c>
      <c r="F256" s="36"/>
      <c r="G256" s="44"/>
      <c r="H256" s="35">
        <f t="shared" si="1"/>
        <v>0</v>
      </c>
      <c r="I256" s="36"/>
      <c r="J256" s="36"/>
      <c r="K256" s="35">
        <f t="shared" si="2"/>
        <v>0</v>
      </c>
    </row>
    <row r="257" ht="15.75" customHeight="1">
      <c r="A257" s="36" t="s">
        <v>483</v>
      </c>
      <c r="B257" s="36" t="s">
        <v>484</v>
      </c>
      <c r="C257" s="36">
        <v>1.0</v>
      </c>
      <c r="D257" s="36" t="s">
        <v>485</v>
      </c>
      <c r="E257" s="43">
        <v>1014.74</v>
      </c>
      <c r="F257" s="36"/>
      <c r="G257" s="44"/>
      <c r="H257" s="35">
        <f t="shared" si="1"/>
        <v>0</v>
      </c>
      <c r="I257" s="36"/>
      <c r="J257" s="36"/>
      <c r="K257" s="35">
        <f t="shared" si="2"/>
        <v>0</v>
      </c>
    </row>
    <row r="258" ht="15.75" customHeight="1">
      <c r="A258" s="36" t="s">
        <v>486</v>
      </c>
      <c r="B258" s="36" t="s">
        <v>487</v>
      </c>
      <c r="C258" s="36">
        <v>17.0</v>
      </c>
      <c r="D258" s="36" t="s">
        <v>23</v>
      </c>
      <c r="E258" s="43">
        <v>7.91</v>
      </c>
      <c r="F258" s="36"/>
      <c r="G258" s="44"/>
      <c r="H258" s="35">
        <f t="shared" si="1"/>
        <v>0</v>
      </c>
      <c r="I258" s="36"/>
      <c r="J258" s="36"/>
      <c r="K258" s="35">
        <f t="shared" si="2"/>
        <v>0</v>
      </c>
    </row>
    <row r="259" ht="15.75" customHeight="1">
      <c r="A259" s="36" t="s">
        <v>488</v>
      </c>
      <c r="B259" s="36" t="s">
        <v>489</v>
      </c>
      <c r="C259" s="36">
        <v>1.0</v>
      </c>
      <c r="D259" s="36" t="s">
        <v>485</v>
      </c>
      <c r="E259" s="43">
        <v>400.0</v>
      </c>
      <c r="F259" s="36">
        <v>1.0</v>
      </c>
      <c r="G259" s="44"/>
      <c r="H259" s="35">
        <f t="shared" si="1"/>
        <v>400</v>
      </c>
      <c r="I259" s="36"/>
      <c r="J259" s="36"/>
      <c r="K259" s="35">
        <f t="shared" si="2"/>
        <v>0</v>
      </c>
    </row>
    <row r="260" ht="15.75" customHeight="1">
      <c r="A260" s="36"/>
      <c r="B260" s="36" t="s">
        <v>490</v>
      </c>
      <c r="C260" s="36"/>
      <c r="D260" s="36"/>
      <c r="E260" s="43"/>
      <c r="F260" s="36"/>
      <c r="G260" s="44"/>
      <c r="H260" s="35">
        <f t="shared" si="1"/>
        <v>0</v>
      </c>
      <c r="I260" s="36"/>
      <c r="J260" s="36"/>
      <c r="K260" s="35">
        <f t="shared" si="2"/>
        <v>0</v>
      </c>
    </row>
    <row r="261" ht="15.75" customHeight="1">
      <c r="A261" s="36" t="s">
        <v>491</v>
      </c>
      <c r="B261" s="36" t="s">
        <v>492</v>
      </c>
      <c r="C261" s="36">
        <v>1.0</v>
      </c>
      <c r="D261" s="36" t="s">
        <v>32</v>
      </c>
      <c r="E261" s="43">
        <v>12662.5</v>
      </c>
      <c r="F261" s="36">
        <v>1.0</v>
      </c>
      <c r="G261" s="44" t="s">
        <v>153</v>
      </c>
      <c r="H261" s="35">
        <f t="shared" si="1"/>
        <v>0</v>
      </c>
      <c r="I261" s="36" t="s">
        <v>154</v>
      </c>
      <c r="J261" s="36"/>
      <c r="K261" s="35">
        <f t="shared" si="2"/>
        <v>0</v>
      </c>
    </row>
    <row r="262" ht="15.75" customHeight="1">
      <c r="A262" s="36" t="s">
        <v>493</v>
      </c>
      <c r="B262" s="36" t="s">
        <v>494</v>
      </c>
      <c r="C262" s="36">
        <v>2.0</v>
      </c>
      <c r="D262" s="36" t="s">
        <v>32</v>
      </c>
      <c r="E262" s="43">
        <v>38.7</v>
      </c>
      <c r="F262" s="36">
        <v>2.0</v>
      </c>
      <c r="G262" s="44" t="s">
        <v>153</v>
      </c>
      <c r="H262" s="35">
        <f t="shared" si="1"/>
        <v>0</v>
      </c>
      <c r="I262" s="36" t="s">
        <v>154</v>
      </c>
      <c r="J262" s="36"/>
      <c r="K262" s="35">
        <f t="shared" si="2"/>
        <v>0</v>
      </c>
    </row>
    <row r="263" ht="15.75" customHeight="1">
      <c r="A263" s="36" t="s">
        <v>495</v>
      </c>
      <c r="B263" s="36" t="s">
        <v>496</v>
      </c>
      <c r="C263" s="36">
        <v>1.0</v>
      </c>
      <c r="D263" s="36" t="s">
        <v>32</v>
      </c>
      <c r="E263" s="43">
        <v>71.75</v>
      </c>
      <c r="F263" s="36">
        <v>1.0</v>
      </c>
      <c r="G263" s="44" t="s">
        <v>153</v>
      </c>
      <c r="H263" s="35">
        <f t="shared" si="1"/>
        <v>0</v>
      </c>
      <c r="I263" s="36" t="s">
        <v>154</v>
      </c>
      <c r="J263" s="36"/>
      <c r="K263" s="35">
        <f t="shared" si="2"/>
        <v>0</v>
      </c>
    </row>
    <row r="264" ht="15.75" customHeight="1">
      <c r="A264" s="36" t="s">
        <v>497</v>
      </c>
      <c r="B264" s="36" t="s">
        <v>498</v>
      </c>
      <c r="C264" s="36">
        <v>6.0</v>
      </c>
      <c r="D264" s="36" t="s">
        <v>32</v>
      </c>
      <c r="E264" s="43">
        <v>15.16</v>
      </c>
      <c r="F264" s="36"/>
      <c r="G264" s="44"/>
      <c r="H264" s="35">
        <f t="shared" si="1"/>
        <v>0</v>
      </c>
      <c r="I264" s="36"/>
      <c r="J264" s="36"/>
      <c r="K264" s="35">
        <f t="shared" si="2"/>
        <v>0</v>
      </c>
    </row>
    <row r="265" ht="15.75" customHeight="1">
      <c r="A265" s="36" t="s">
        <v>499</v>
      </c>
      <c r="B265" s="36" t="s">
        <v>500</v>
      </c>
      <c r="C265" s="54">
        <v>1.0</v>
      </c>
      <c r="D265" s="36" t="s">
        <v>32</v>
      </c>
      <c r="E265" s="43">
        <v>1723.21</v>
      </c>
      <c r="F265" s="36">
        <v>1.0</v>
      </c>
      <c r="G265" s="44" t="s">
        <v>153</v>
      </c>
      <c r="H265" s="35">
        <f t="shared" si="1"/>
        <v>0</v>
      </c>
      <c r="I265" s="36" t="s">
        <v>154</v>
      </c>
      <c r="J265" s="36"/>
      <c r="K265" s="35">
        <f t="shared" si="2"/>
        <v>0</v>
      </c>
    </row>
    <row r="266" ht="15.75" customHeight="1">
      <c r="A266" s="36" t="s">
        <v>501</v>
      </c>
      <c r="B266" s="36" t="s">
        <v>502</v>
      </c>
      <c r="C266" s="36">
        <v>1.0</v>
      </c>
      <c r="D266" s="36" t="s">
        <v>32</v>
      </c>
      <c r="E266" s="43">
        <v>161.5</v>
      </c>
      <c r="F266" s="36">
        <v>1.0</v>
      </c>
      <c r="G266" s="44" t="s">
        <v>153</v>
      </c>
      <c r="H266" s="35">
        <f t="shared" si="1"/>
        <v>0</v>
      </c>
      <c r="I266" s="36" t="s">
        <v>154</v>
      </c>
      <c r="J266" s="36"/>
      <c r="K266" s="35">
        <f t="shared" si="2"/>
        <v>0</v>
      </c>
    </row>
    <row r="267" ht="15.75" customHeight="1">
      <c r="A267" s="36" t="s">
        <v>503</v>
      </c>
      <c r="B267" s="36" t="s">
        <v>504</v>
      </c>
      <c r="C267" s="36">
        <v>40.0</v>
      </c>
      <c r="D267" s="36" t="s">
        <v>119</v>
      </c>
      <c r="E267" s="43">
        <v>4.75</v>
      </c>
      <c r="F267" s="36">
        <v>1.0</v>
      </c>
      <c r="G267" s="44" t="s">
        <v>153</v>
      </c>
      <c r="H267" s="35">
        <f t="shared" si="1"/>
        <v>0</v>
      </c>
      <c r="I267" s="36" t="s">
        <v>154</v>
      </c>
      <c r="J267" s="36"/>
      <c r="K267" s="35">
        <f t="shared" si="2"/>
        <v>0</v>
      </c>
    </row>
    <row r="268" ht="15.75" customHeight="1">
      <c r="A268" s="36" t="s">
        <v>505</v>
      </c>
      <c r="B268" s="36" t="s">
        <v>506</v>
      </c>
      <c r="C268" s="36">
        <v>1.0</v>
      </c>
      <c r="D268" s="36" t="s">
        <v>485</v>
      </c>
      <c r="E268" s="43">
        <v>904.0</v>
      </c>
      <c r="F268" s="36"/>
      <c r="G268" s="44"/>
      <c r="H268" s="35">
        <f t="shared" si="1"/>
        <v>0</v>
      </c>
      <c r="I268" s="36"/>
      <c r="J268" s="36"/>
      <c r="K268" s="35">
        <f t="shared" si="2"/>
        <v>0</v>
      </c>
    </row>
    <row r="269" ht="15.75" customHeight="1">
      <c r="A269" s="36"/>
      <c r="B269" s="36" t="s">
        <v>507</v>
      </c>
      <c r="C269" s="36"/>
      <c r="D269" s="36"/>
      <c r="E269" s="43"/>
      <c r="F269" s="36"/>
      <c r="G269" s="44"/>
      <c r="H269" s="35">
        <f t="shared" si="1"/>
        <v>0</v>
      </c>
      <c r="I269" s="36"/>
      <c r="J269" s="36"/>
      <c r="K269" s="35">
        <f t="shared" si="2"/>
        <v>0</v>
      </c>
    </row>
    <row r="270" ht="15.75" customHeight="1">
      <c r="A270" s="36" t="s">
        <v>508</v>
      </c>
      <c r="B270" s="36" t="s">
        <v>509</v>
      </c>
      <c r="C270" s="36">
        <v>1.0</v>
      </c>
      <c r="D270" s="36" t="s">
        <v>510</v>
      </c>
      <c r="E270" s="43">
        <v>7001.12</v>
      </c>
      <c r="F270" s="36"/>
      <c r="G270" s="44"/>
      <c r="H270" s="35">
        <f t="shared" si="1"/>
        <v>0</v>
      </c>
      <c r="I270" s="36"/>
      <c r="J270" s="36"/>
      <c r="K270" s="35">
        <f t="shared" si="2"/>
        <v>0</v>
      </c>
    </row>
    <row r="271" ht="15.75" customHeight="1">
      <c r="A271" s="36" t="s">
        <v>511</v>
      </c>
      <c r="B271" s="36" t="s">
        <v>512</v>
      </c>
      <c r="C271" s="36">
        <v>2.0</v>
      </c>
      <c r="D271" s="36" t="s">
        <v>510</v>
      </c>
      <c r="E271" s="43">
        <v>278.14</v>
      </c>
      <c r="F271" s="36"/>
      <c r="G271" s="44"/>
      <c r="H271" s="35">
        <f t="shared" si="1"/>
        <v>0</v>
      </c>
      <c r="I271" s="36"/>
      <c r="J271" s="36"/>
      <c r="K271" s="35">
        <f t="shared" si="2"/>
        <v>0</v>
      </c>
    </row>
    <row r="272" ht="15.75" customHeight="1">
      <c r="A272" s="36" t="s">
        <v>513</v>
      </c>
      <c r="B272" s="36" t="s">
        <v>514</v>
      </c>
      <c r="C272" s="36">
        <v>1.0</v>
      </c>
      <c r="D272" s="36" t="s">
        <v>510</v>
      </c>
      <c r="E272" s="43">
        <v>74.58</v>
      </c>
      <c r="F272" s="36"/>
      <c r="G272" s="44"/>
      <c r="H272" s="35">
        <f t="shared" si="1"/>
        <v>0</v>
      </c>
      <c r="I272" s="36"/>
      <c r="J272" s="36"/>
      <c r="K272" s="35">
        <f t="shared" si="2"/>
        <v>0</v>
      </c>
    </row>
    <row r="273" ht="15.75" customHeight="1">
      <c r="A273" s="36" t="s">
        <v>515</v>
      </c>
      <c r="B273" s="36" t="s">
        <v>516</v>
      </c>
      <c r="C273" s="36">
        <v>1.0</v>
      </c>
      <c r="D273" s="36" t="s">
        <v>510</v>
      </c>
      <c r="E273" s="43">
        <v>621.59</v>
      </c>
      <c r="F273" s="36"/>
      <c r="G273" s="44"/>
      <c r="H273" s="35">
        <f t="shared" si="1"/>
        <v>0</v>
      </c>
      <c r="I273" s="36"/>
      <c r="J273" s="36"/>
      <c r="K273" s="35">
        <f t="shared" si="2"/>
        <v>0</v>
      </c>
    </row>
    <row r="274" ht="15.75" customHeight="1">
      <c r="A274" s="36" t="s">
        <v>517</v>
      </c>
      <c r="B274" s="36" t="s">
        <v>518</v>
      </c>
      <c r="C274" s="36">
        <v>3.0</v>
      </c>
      <c r="D274" s="36" t="s">
        <v>510</v>
      </c>
      <c r="E274" s="43">
        <v>44.35</v>
      </c>
      <c r="F274" s="36"/>
      <c r="G274" s="44"/>
      <c r="H274" s="35">
        <f t="shared" si="1"/>
        <v>0</v>
      </c>
      <c r="I274" s="36"/>
      <c r="J274" s="36"/>
      <c r="K274" s="35">
        <f t="shared" si="2"/>
        <v>0</v>
      </c>
    </row>
    <row r="275" ht="15.75" customHeight="1">
      <c r="A275" s="36" t="s">
        <v>519</v>
      </c>
      <c r="B275" s="36" t="s">
        <v>520</v>
      </c>
      <c r="C275" s="36">
        <v>3.0</v>
      </c>
      <c r="D275" s="36" t="s">
        <v>510</v>
      </c>
      <c r="E275" s="43">
        <v>136.56</v>
      </c>
      <c r="F275" s="36"/>
      <c r="G275" s="44"/>
      <c r="H275" s="35">
        <f t="shared" si="1"/>
        <v>0</v>
      </c>
      <c r="I275" s="36"/>
      <c r="J275" s="36"/>
      <c r="K275" s="35">
        <f t="shared" si="2"/>
        <v>0</v>
      </c>
    </row>
    <row r="276" ht="15.75" customHeight="1">
      <c r="A276" s="36" t="s">
        <v>521</v>
      </c>
      <c r="B276" s="36" t="s">
        <v>522</v>
      </c>
      <c r="C276" s="36">
        <v>1.0</v>
      </c>
      <c r="D276" s="36" t="s">
        <v>510</v>
      </c>
      <c r="E276" s="43">
        <v>102.21</v>
      </c>
      <c r="F276" s="36"/>
      <c r="G276" s="44"/>
      <c r="H276" s="35">
        <f t="shared" si="1"/>
        <v>0</v>
      </c>
      <c r="I276" s="36"/>
      <c r="J276" s="36"/>
      <c r="K276" s="35">
        <f t="shared" si="2"/>
        <v>0</v>
      </c>
    </row>
    <row r="277" ht="15.75" customHeight="1">
      <c r="A277" s="36" t="s">
        <v>523</v>
      </c>
      <c r="B277" s="36" t="s">
        <v>524</v>
      </c>
      <c r="C277" s="36">
        <v>1.0</v>
      </c>
      <c r="D277" s="36" t="s">
        <v>510</v>
      </c>
      <c r="E277" s="43">
        <v>950.23</v>
      </c>
      <c r="F277" s="36"/>
      <c r="G277" s="44"/>
      <c r="H277" s="35">
        <f t="shared" si="1"/>
        <v>0</v>
      </c>
      <c r="I277" s="36"/>
      <c r="J277" s="36"/>
      <c r="K277" s="35">
        <f t="shared" si="2"/>
        <v>0</v>
      </c>
    </row>
    <row r="278" ht="15.75" customHeight="1">
      <c r="A278" s="36" t="s">
        <v>525</v>
      </c>
      <c r="B278" s="36" t="s">
        <v>526</v>
      </c>
      <c r="C278" s="36">
        <v>1.0</v>
      </c>
      <c r="D278" s="36" t="s">
        <v>510</v>
      </c>
      <c r="E278" s="43">
        <v>749.79</v>
      </c>
      <c r="F278" s="36"/>
      <c r="G278" s="44"/>
      <c r="H278" s="35">
        <f t="shared" si="1"/>
        <v>0</v>
      </c>
      <c r="I278" s="36"/>
      <c r="J278" s="36"/>
      <c r="K278" s="35">
        <f t="shared" si="2"/>
        <v>0</v>
      </c>
    </row>
    <row r="279" ht="15.75" customHeight="1">
      <c r="A279" s="36"/>
      <c r="B279" s="36" t="s">
        <v>527</v>
      </c>
      <c r="C279" s="36"/>
      <c r="D279" s="36"/>
      <c r="E279" s="43"/>
      <c r="F279" s="36"/>
      <c r="G279" s="44"/>
      <c r="H279" s="35">
        <f t="shared" si="1"/>
        <v>0</v>
      </c>
      <c r="I279" s="36"/>
      <c r="J279" s="36"/>
      <c r="K279" s="35">
        <f t="shared" si="2"/>
        <v>0</v>
      </c>
    </row>
    <row r="280" ht="15.75" customHeight="1">
      <c r="A280" s="36" t="s">
        <v>528</v>
      </c>
      <c r="B280" s="36" t="s">
        <v>529</v>
      </c>
      <c r="C280" s="36">
        <v>2.0</v>
      </c>
      <c r="D280" s="36" t="s">
        <v>510</v>
      </c>
      <c r="E280" s="43">
        <v>2179.04</v>
      </c>
      <c r="F280" s="36"/>
      <c r="G280" s="44"/>
      <c r="H280" s="35">
        <f t="shared" si="1"/>
        <v>0</v>
      </c>
      <c r="I280" s="36"/>
      <c r="J280" s="36"/>
      <c r="K280" s="35">
        <f t="shared" si="2"/>
        <v>0</v>
      </c>
    </row>
    <row r="281" ht="15.75" customHeight="1">
      <c r="A281" s="36" t="s">
        <v>530</v>
      </c>
      <c r="B281" s="36" t="s">
        <v>531</v>
      </c>
      <c r="C281" s="36">
        <v>2.0</v>
      </c>
      <c r="D281" s="36" t="s">
        <v>510</v>
      </c>
      <c r="E281" s="43">
        <v>125.52</v>
      </c>
      <c r="F281" s="36"/>
      <c r="G281" s="44"/>
      <c r="H281" s="35">
        <f t="shared" si="1"/>
        <v>0</v>
      </c>
      <c r="I281" s="36"/>
      <c r="J281" s="36"/>
      <c r="K281" s="35">
        <f t="shared" si="2"/>
        <v>0</v>
      </c>
    </row>
    <row r="282" ht="15.75" customHeight="1">
      <c r="A282" s="36" t="s">
        <v>532</v>
      </c>
      <c r="B282" s="36" t="s">
        <v>533</v>
      </c>
      <c r="C282" s="36">
        <v>2.0</v>
      </c>
      <c r="D282" s="36" t="s">
        <v>510</v>
      </c>
      <c r="E282" s="43">
        <v>59.7</v>
      </c>
      <c r="F282" s="36"/>
      <c r="G282" s="44"/>
      <c r="H282" s="35">
        <f t="shared" si="1"/>
        <v>0</v>
      </c>
      <c r="I282" s="36"/>
      <c r="J282" s="36"/>
      <c r="K282" s="35">
        <f t="shared" si="2"/>
        <v>0</v>
      </c>
    </row>
    <row r="283" ht="15.75" customHeight="1">
      <c r="A283" s="36" t="s">
        <v>534</v>
      </c>
      <c r="B283" s="36" t="s">
        <v>535</v>
      </c>
      <c r="C283" s="36">
        <v>1.0</v>
      </c>
      <c r="D283" s="36" t="s">
        <v>510</v>
      </c>
      <c r="E283" s="43">
        <v>1689.72</v>
      </c>
      <c r="F283" s="36"/>
      <c r="G283" s="44"/>
      <c r="H283" s="35">
        <f t="shared" si="1"/>
        <v>0</v>
      </c>
      <c r="I283" s="36"/>
      <c r="J283" s="36"/>
      <c r="K283" s="35">
        <f t="shared" si="2"/>
        <v>0</v>
      </c>
    </row>
    <row r="284" ht="15.75" customHeight="1">
      <c r="A284" s="36" t="s">
        <v>536</v>
      </c>
      <c r="B284" s="36" t="s">
        <v>537</v>
      </c>
      <c r="C284" s="36">
        <v>1.0</v>
      </c>
      <c r="D284" s="36" t="s">
        <v>485</v>
      </c>
      <c r="E284" s="43">
        <v>904.0</v>
      </c>
      <c r="F284" s="36"/>
      <c r="G284" s="44"/>
      <c r="H284" s="35">
        <f t="shared" si="1"/>
        <v>0</v>
      </c>
      <c r="I284" s="36"/>
      <c r="J284" s="36"/>
      <c r="K284" s="35">
        <f t="shared" si="2"/>
        <v>0</v>
      </c>
    </row>
    <row r="285" ht="15.75" customHeight="1">
      <c r="A285" s="36"/>
      <c r="B285" s="36" t="s">
        <v>538</v>
      </c>
      <c r="C285" s="36"/>
      <c r="D285" s="36"/>
      <c r="E285" s="43"/>
      <c r="F285" s="36"/>
      <c r="G285" s="44"/>
      <c r="H285" s="35">
        <f t="shared" si="1"/>
        <v>0</v>
      </c>
      <c r="I285" s="36"/>
      <c r="J285" s="36"/>
      <c r="K285" s="35">
        <f t="shared" si="2"/>
        <v>0</v>
      </c>
    </row>
    <row r="286" ht="15.75" customHeight="1">
      <c r="A286" s="36"/>
      <c r="B286" s="36" t="s">
        <v>19</v>
      </c>
      <c r="C286" s="36"/>
      <c r="D286" s="36"/>
      <c r="E286" s="43"/>
      <c r="F286" s="36"/>
      <c r="G286" s="44"/>
      <c r="H286" s="35">
        <f t="shared" si="1"/>
        <v>0</v>
      </c>
      <c r="I286" s="36"/>
      <c r="J286" s="36"/>
      <c r="K286" s="35">
        <f t="shared" si="2"/>
        <v>0</v>
      </c>
    </row>
    <row r="287" ht="15.75" customHeight="1">
      <c r="A287" s="36" t="s">
        <v>539</v>
      </c>
      <c r="B287" s="36" t="s">
        <v>540</v>
      </c>
      <c r="C287" s="36">
        <v>25.0</v>
      </c>
      <c r="D287" s="36" t="s">
        <v>541</v>
      </c>
      <c r="E287" s="43">
        <v>75.5</v>
      </c>
      <c r="F287" s="36">
        <v>27.75</v>
      </c>
      <c r="G287" s="44"/>
      <c r="H287" s="35">
        <f t="shared" si="1"/>
        <v>2095.125</v>
      </c>
      <c r="I287" s="36"/>
      <c r="J287" s="36">
        <v>27.75</v>
      </c>
      <c r="K287" s="35">
        <f t="shared" si="2"/>
        <v>2095.125</v>
      </c>
    </row>
    <row r="288" ht="15.75" customHeight="1">
      <c r="A288" s="36" t="s">
        <v>542</v>
      </c>
      <c r="B288" s="36" t="s">
        <v>543</v>
      </c>
      <c r="C288" s="36">
        <v>25.0</v>
      </c>
      <c r="D288" s="36" t="s">
        <v>541</v>
      </c>
      <c r="E288" s="43">
        <v>67.5</v>
      </c>
      <c r="F288" s="36">
        <v>2.75</v>
      </c>
      <c r="G288" s="44"/>
      <c r="H288" s="35">
        <f t="shared" si="1"/>
        <v>185.625</v>
      </c>
      <c r="I288" s="36"/>
      <c r="J288" s="36">
        <v>2.75</v>
      </c>
      <c r="K288" s="35">
        <f t="shared" si="2"/>
        <v>185.625</v>
      </c>
    </row>
    <row r="289" ht="15.75" customHeight="1">
      <c r="A289" s="36" t="s">
        <v>544</v>
      </c>
      <c r="B289" s="36" t="s">
        <v>545</v>
      </c>
      <c r="C289" s="36">
        <v>15.0</v>
      </c>
      <c r="D289" s="36" t="s">
        <v>541</v>
      </c>
      <c r="E289" s="43">
        <v>44.0</v>
      </c>
      <c r="F289" s="36">
        <v>14.75</v>
      </c>
      <c r="G289" s="44"/>
      <c r="H289" s="35">
        <f t="shared" si="1"/>
        <v>649</v>
      </c>
      <c r="I289" s="36"/>
      <c r="J289" s="36">
        <v>14.75</v>
      </c>
      <c r="K289" s="35">
        <f t="shared" si="2"/>
        <v>649</v>
      </c>
    </row>
    <row r="290" ht="15.75" customHeight="1">
      <c r="A290" s="36" t="s">
        <v>546</v>
      </c>
      <c r="B290" s="36" t="s">
        <v>547</v>
      </c>
      <c r="C290" s="36">
        <v>8.0</v>
      </c>
      <c r="D290" s="36" t="s">
        <v>541</v>
      </c>
      <c r="E290" s="43">
        <v>75.5</v>
      </c>
      <c r="F290" s="36"/>
      <c r="G290" s="44"/>
      <c r="H290" s="35">
        <f t="shared" si="1"/>
        <v>0</v>
      </c>
      <c r="I290" s="36"/>
      <c r="J290" s="36"/>
      <c r="K290" s="35">
        <f t="shared" si="2"/>
        <v>0</v>
      </c>
    </row>
    <row r="291" ht="15.75" customHeight="1">
      <c r="A291" s="46" t="s">
        <v>548</v>
      </c>
      <c r="B291" s="46" t="s">
        <v>549</v>
      </c>
      <c r="C291" s="46"/>
      <c r="D291" s="46" t="s">
        <v>23</v>
      </c>
      <c r="E291" s="47">
        <v>3.49</v>
      </c>
      <c r="F291" s="46">
        <v>7.0</v>
      </c>
      <c r="G291" s="48"/>
      <c r="H291" s="49">
        <f t="shared" si="1"/>
        <v>24.43</v>
      </c>
      <c r="I291" s="46" t="s">
        <v>550</v>
      </c>
      <c r="J291" s="46">
        <v>7.0</v>
      </c>
      <c r="K291" s="49">
        <f t="shared" si="2"/>
        <v>24.43</v>
      </c>
    </row>
    <row r="292" ht="15.75" customHeight="1">
      <c r="A292" s="46" t="s">
        <v>551</v>
      </c>
      <c r="B292" s="46" t="s">
        <v>552</v>
      </c>
      <c r="C292" s="46"/>
      <c r="D292" s="46" t="s">
        <v>510</v>
      </c>
      <c r="E292" s="47">
        <v>11.79</v>
      </c>
      <c r="F292" s="46">
        <v>5.0</v>
      </c>
      <c r="G292" s="48"/>
      <c r="H292" s="49">
        <f t="shared" si="1"/>
        <v>58.95</v>
      </c>
      <c r="I292" s="46" t="s">
        <v>553</v>
      </c>
      <c r="J292" s="46">
        <v>5.0</v>
      </c>
      <c r="K292" s="49">
        <f t="shared" si="2"/>
        <v>58.95</v>
      </c>
    </row>
    <row r="293" ht="15.75" customHeight="1">
      <c r="A293" s="46" t="s">
        <v>554</v>
      </c>
      <c r="B293" s="46" t="s">
        <v>555</v>
      </c>
      <c r="C293" s="46"/>
      <c r="D293" s="46" t="s">
        <v>510</v>
      </c>
      <c r="E293" s="47">
        <v>34.78</v>
      </c>
      <c r="F293" s="46">
        <v>1.0</v>
      </c>
      <c r="G293" s="48"/>
      <c r="H293" s="49">
        <f t="shared" si="1"/>
        <v>34.78</v>
      </c>
      <c r="I293" s="46" t="s">
        <v>556</v>
      </c>
      <c r="J293" s="46">
        <v>1.0</v>
      </c>
      <c r="K293" s="49">
        <f t="shared" si="2"/>
        <v>34.78</v>
      </c>
    </row>
    <row r="294" ht="15.75" customHeight="1">
      <c r="A294" s="46" t="s">
        <v>557</v>
      </c>
      <c r="B294" s="46" t="s">
        <v>558</v>
      </c>
      <c r="C294" s="46"/>
      <c r="D294" s="46" t="s">
        <v>510</v>
      </c>
      <c r="E294" s="47">
        <v>12.18</v>
      </c>
      <c r="F294" s="46">
        <v>1.0</v>
      </c>
      <c r="G294" s="48"/>
      <c r="H294" s="49">
        <f t="shared" si="1"/>
        <v>12.18</v>
      </c>
      <c r="I294" s="46" t="s">
        <v>559</v>
      </c>
      <c r="J294" s="46">
        <v>1.0</v>
      </c>
      <c r="K294" s="49">
        <f t="shared" si="2"/>
        <v>12.18</v>
      </c>
    </row>
    <row r="295" ht="15.75" customHeight="1">
      <c r="A295" s="46" t="s">
        <v>560</v>
      </c>
      <c r="B295" s="46" t="s">
        <v>561</v>
      </c>
      <c r="C295" s="46"/>
      <c r="D295" s="46" t="s">
        <v>510</v>
      </c>
      <c r="E295" s="47">
        <v>11.42</v>
      </c>
      <c r="F295" s="46">
        <v>12.0</v>
      </c>
      <c r="G295" s="48"/>
      <c r="H295" s="49">
        <f t="shared" si="1"/>
        <v>137.04</v>
      </c>
      <c r="I295" s="46" t="s">
        <v>562</v>
      </c>
      <c r="J295" s="46">
        <v>12.0</v>
      </c>
      <c r="K295" s="49">
        <f t="shared" si="2"/>
        <v>137.04</v>
      </c>
    </row>
    <row r="296" ht="15.75" customHeight="1">
      <c r="A296" s="46" t="s">
        <v>563</v>
      </c>
      <c r="B296" s="46" t="s">
        <v>110</v>
      </c>
      <c r="C296" s="46"/>
      <c r="D296" s="46" t="s">
        <v>510</v>
      </c>
      <c r="E296" s="47">
        <v>5.54</v>
      </c>
      <c r="F296" s="46">
        <v>10.0</v>
      </c>
      <c r="G296" s="48"/>
      <c r="H296" s="49">
        <f t="shared" si="1"/>
        <v>55.4</v>
      </c>
      <c r="I296" s="46" t="s">
        <v>564</v>
      </c>
      <c r="J296" s="46">
        <v>10.0</v>
      </c>
      <c r="K296" s="49">
        <f t="shared" si="2"/>
        <v>55.4</v>
      </c>
    </row>
    <row r="297" ht="15.75" customHeight="1">
      <c r="A297" s="46" t="s">
        <v>565</v>
      </c>
      <c r="B297" s="46" t="s">
        <v>566</v>
      </c>
      <c r="C297" s="46"/>
      <c r="D297" s="46" t="s">
        <v>510</v>
      </c>
      <c r="E297" s="47">
        <v>2.53</v>
      </c>
      <c r="F297" s="46">
        <v>1.0</v>
      </c>
      <c r="G297" s="48"/>
      <c r="H297" s="49">
        <f t="shared" si="1"/>
        <v>2.53</v>
      </c>
      <c r="I297" s="46" t="s">
        <v>567</v>
      </c>
      <c r="J297" s="46">
        <v>1.0</v>
      </c>
      <c r="K297" s="49">
        <f t="shared" si="2"/>
        <v>2.53</v>
      </c>
    </row>
    <row r="298" ht="15.75" customHeight="1">
      <c r="A298" s="46" t="s">
        <v>568</v>
      </c>
      <c r="B298" s="46" t="s">
        <v>569</v>
      </c>
      <c r="C298" s="46"/>
      <c r="D298" s="46" t="s">
        <v>510</v>
      </c>
      <c r="E298" s="47">
        <v>2.53</v>
      </c>
      <c r="F298" s="46">
        <v>3.0</v>
      </c>
      <c r="G298" s="48"/>
      <c r="H298" s="49">
        <f t="shared" si="1"/>
        <v>7.59</v>
      </c>
      <c r="I298" s="46" t="s">
        <v>567</v>
      </c>
      <c r="J298" s="46">
        <v>3.0</v>
      </c>
      <c r="K298" s="49">
        <f t="shared" si="2"/>
        <v>7.59</v>
      </c>
    </row>
    <row r="299" ht="15.75" customHeight="1">
      <c r="A299" s="46" t="s">
        <v>570</v>
      </c>
      <c r="B299" s="46" t="s">
        <v>571</v>
      </c>
      <c r="C299" s="46"/>
      <c r="D299" s="46" t="s">
        <v>510</v>
      </c>
      <c r="E299" s="47">
        <v>4.95</v>
      </c>
      <c r="F299" s="46">
        <v>6.0</v>
      </c>
      <c r="G299" s="48"/>
      <c r="H299" s="49">
        <f t="shared" si="1"/>
        <v>29.7</v>
      </c>
      <c r="I299" s="46" t="s">
        <v>572</v>
      </c>
      <c r="J299" s="46">
        <v>6.0</v>
      </c>
      <c r="K299" s="49">
        <f t="shared" si="2"/>
        <v>29.7</v>
      </c>
    </row>
    <row r="300" ht="15.75" customHeight="1">
      <c r="A300" s="46" t="s">
        <v>573</v>
      </c>
      <c r="B300" s="46" t="s">
        <v>574</v>
      </c>
      <c r="C300" s="46"/>
      <c r="D300" s="46" t="s">
        <v>510</v>
      </c>
      <c r="E300" s="47">
        <v>6.58</v>
      </c>
      <c r="F300" s="46">
        <v>1.0</v>
      </c>
      <c r="G300" s="48"/>
      <c r="H300" s="49">
        <f t="shared" si="1"/>
        <v>6.58</v>
      </c>
      <c r="I300" s="46" t="s">
        <v>575</v>
      </c>
      <c r="J300" s="46">
        <v>1.0</v>
      </c>
      <c r="K300" s="49">
        <f t="shared" si="2"/>
        <v>6.58</v>
      </c>
    </row>
    <row r="301" ht="15.75" customHeight="1">
      <c r="A301" s="46" t="s">
        <v>576</v>
      </c>
      <c r="B301" s="46" t="s">
        <v>577</v>
      </c>
      <c r="C301" s="46"/>
      <c r="D301" s="46" t="s">
        <v>510</v>
      </c>
      <c r="E301" s="47">
        <v>5.42</v>
      </c>
      <c r="F301" s="46">
        <v>2.0</v>
      </c>
      <c r="G301" s="48"/>
      <c r="H301" s="49">
        <f t="shared" si="1"/>
        <v>10.84</v>
      </c>
      <c r="I301" s="46" t="s">
        <v>578</v>
      </c>
      <c r="J301" s="46">
        <v>2.0</v>
      </c>
      <c r="K301" s="49">
        <f t="shared" si="2"/>
        <v>10.84</v>
      </c>
    </row>
    <row r="302" ht="15.75" customHeight="1">
      <c r="A302" s="46" t="s">
        <v>579</v>
      </c>
      <c r="B302" s="46" t="s">
        <v>580</v>
      </c>
      <c r="C302" s="46"/>
      <c r="D302" s="46" t="s">
        <v>23</v>
      </c>
      <c r="E302" s="47">
        <v>7.35</v>
      </c>
      <c r="F302" s="46">
        <v>0.5</v>
      </c>
      <c r="G302" s="48"/>
      <c r="H302" s="49">
        <f t="shared" si="1"/>
        <v>3.675</v>
      </c>
      <c r="I302" s="46" t="s">
        <v>581</v>
      </c>
      <c r="J302" s="46">
        <v>0.5</v>
      </c>
      <c r="K302" s="49">
        <f t="shared" si="2"/>
        <v>3.675</v>
      </c>
    </row>
    <row r="303" ht="15.75" customHeight="1">
      <c r="A303" s="46" t="s">
        <v>582</v>
      </c>
      <c r="B303" s="46" t="s">
        <v>583</v>
      </c>
      <c r="C303" s="46"/>
      <c r="D303" s="46" t="s">
        <v>510</v>
      </c>
      <c r="E303" s="47">
        <v>2.22</v>
      </c>
      <c r="F303" s="46">
        <v>1.0</v>
      </c>
      <c r="G303" s="48"/>
      <c r="H303" s="49">
        <f t="shared" si="1"/>
        <v>2.22</v>
      </c>
      <c r="I303" s="46" t="s">
        <v>584</v>
      </c>
      <c r="J303" s="46">
        <v>1.0</v>
      </c>
      <c r="K303" s="49">
        <f t="shared" si="2"/>
        <v>2.22</v>
      </c>
    </row>
    <row r="304" ht="15.75" customHeight="1">
      <c r="A304" s="46" t="s">
        <v>585</v>
      </c>
      <c r="B304" s="46" t="s">
        <v>586</v>
      </c>
      <c r="C304" s="46"/>
      <c r="D304" s="46" t="s">
        <v>23</v>
      </c>
      <c r="E304" s="47">
        <v>4.63</v>
      </c>
      <c r="F304" s="46">
        <v>4.5</v>
      </c>
      <c r="G304" s="48"/>
      <c r="H304" s="49">
        <f t="shared" si="1"/>
        <v>20.835</v>
      </c>
      <c r="I304" s="46" t="s">
        <v>587</v>
      </c>
      <c r="J304" s="46">
        <v>4.5</v>
      </c>
      <c r="K304" s="49">
        <f t="shared" si="2"/>
        <v>20.835</v>
      </c>
    </row>
    <row r="305" ht="15.75" customHeight="1">
      <c r="A305" s="46" t="s">
        <v>588</v>
      </c>
      <c r="B305" s="46" t="s">
        <v>589</v>
      </c>
      <c r="C305" s="46"/>
      <c r="D305" s="46" t="s">
        <v>510</v>
      </c>
      <c r="E305" s="47">
        <v>5.88</v>
      </c>
      <c r="F305" s="46">
        <v>1.0</v>
      </c>
      <c r="G305" s="48"/>
      <c r="H305" s="49">
        <f t="shared" si="1"/>
        <v>5.88</v>
      </c>
      <c r="I305" s="46" t="s">
        <v>590</v>
      </c>
      <c r="J305" s="46">
        <v>1.0</v>
      </c>
      <c r="K305" s="49">
        <f t="shared" si="2"/>
        <v>5.88</v>
      </c>
    </row>
    <row r="306" ht="15.75" customHeight="1">
      <c r="A306" s="46"/>
      <c r="B306" s="46"/>
      <c r="C306" s="46"/>
      <c r="D306" s="46"/>
      <c r="E306" s="47"/>
      <c r="F306" s="46"/>
      <c r="G306" s="48"/>
      <c r="H306" s="49"/>
      <c r="I306" s="46" t="s">
        <v>591</v>
      </c>
      <c r="J306" s="46"/>
      <c r="K306" s="49"/>
    </row>
    <row r="307" ht="14.25" customHeight="1">
      <c r="A307" s="46" t="s">
        <v>592</v>
      </c>
      <c r="B307" s="46" t="s">
        <v>593</v>
      </c>
      <c r="C307" s="46"/>
      <c r="D307" s="46" t="s">
        <v>510</v>
      </c>
      <c r="E307" s="47">
        <v>2.12</v>
      </c>
      <c r="F307" s="46">
        <v>2.0</v>
      </c>
      <c r="G307" s="48"/>
      <c r="H307" s="49">
        <f t="shared" ref="H307:H363" si="3">(E307*F307)*ISBLANK(G307)</f>
        <v>4.24</v>
      </c>
      <c r="I307" s="46" t="s">
        <v>594</v>
      </c>
      <c r="J307" s="46">
        <v>2.0</v>
      </c>
      <c r="K307" s="49">
        <f t="shared" ref="K307:K332" si="4">J307*E307</f>
        <v>4.24</v>
      </c>
    </row>
    <row r="308" ht="15.75" customHeight="1">
      <c r="A308" s="46" t="s">
        <v>595</v>
      </c>
      <c r="B308" s="46" t="s">
        <v>596</v>
      </c>
      <c r="C308" s="46"/>
      <c r="D308" s="46" t="s">
        <v>510</v>
      </c>
      <c r="E308" s="47">
        <v>7.87</v>
      </c>
      <c r="F308" s="46">
        <v>1.0</v>
      </c>
      <c r="G308" s="48"/>
      <c r="H308" s="49">
        <f t="shared" si="3"/>
        <v>7.87</v>
      </c>
      <c r="I308" s="46" t="s">
        <v>597</v>
      </c>
      <c r="J308" s="46">
        <v>1.0</v>
      </c>
      <c r="K308" s="49">
        <f t="shared" si="4"/>
        <v>7.87</v>
      </c>
    </row>
    <row r="309" ht="15.75" customHeight="1">
      <c r="A309" s="46" t="s">
        <v>598</v>
      </c>
      <c r="B309" s="46" t="s">
        <v>599</v>
      </c>
      <c r="C309" s="46"/>
      <c r="D309" s="46" t="s">
        <v>510</v>
      </c>
      <c r="E309" s="47">
        <v>14.58</v>
      </c>
      <c r="F309" s="46">
        <v>1.0</v>
      </c>
      <c r="G309" s="48"/>
      <c r="H309" s="49">
        <f t="shared" si="3"/>
        <v>14.58</v>
      </c>
      <c r="I309" s="46" t="s">
        <v>600</v>
      </c>
      <c r="J309" s="46">
        <v>1.0</v>
      </c>
      <c r="K309" s="49">
        <f t="shared" si="4"/>
        <v>14.58</v>
      </c>
    </row>
    <row r="310" ht="15.75" customHeight="1">
      <c r="A310" s="36"/>
      <c r="B310" s="36" t="s">
        <v>601</v>
      </c>
      <c r="C310" s="36"/>
      <c r="D310" s="36"/>
      <c r="E310" s="43"/>
      <c r="F310" s="36"/>
      <c r="G310" s="44"/>
      <c r="H310" s="35">
        <f t="shared" si="3"/>
        <v>0</v>
      </c>
      <c r="I310" s="36"/>
      <c r="J310" s="36"/>
      <c r="K310" s="35">
        <f t="shared" si="4"/>
        <v>0</v>
      </c>
    </row>
    <row r="311" ht="15.75" customHeight="1">
      <c r="A311" s="36" t="s">
        <v>602</v>
      </c>
      <c r="B311" s="36" t="s">
        <v>603</v>
      </c>
      <c r="C311" s="36">
        <v>4.0</v>
      </c>
      <c r="D311" s="36" t="s">
        <v>32</v>
      </c>
      <c r="E311" s="43">
        <v>180.8</v>
      </c>
      <c r="F311" s="36"/>
      <c r="G311" s="44"/>
      <c r="H311" s="35">
        <f t="shared" si="3"/>
        <v>0</v>
      </c>
      <c r="I311" s="36"/>
      <c r="J311" s="36"/>
      <c r="K311" s="35">
        <f t="shared" si="4"/>
        <v>0</v>
      </c>
    </row>
    <row r="312" ht="15.75" customHeight="1">
      <c r="A312" s="36" t="s">
        <v>604</v>
      </c>
      <c r="B312" s="36" t="s">
        <v>605</v>
      </c>
      <c r="C312" s="36">
        <v>6.0</v>
      </c>
      <c r="D312" s="36" t="s">
        <v>32</v>
      </c>
      <c r="E312" s="43">
        <v>209.05</v>
      </c>
      <c r="F312" s="36"/>
      <c r="G312" s="44"/>
      <c r="H312" s="35">
        <f t="shared" si="3"/>
        <v>0</v>
      </c>
      <c r="I312" s="36"/>
      <c r="J312" s="36"/>
      <c r="K312" s="35">
        <f t="shared" si="4"/>
        <v>0</v>
      </c>
    </row>
    <row r="313" ht="15.75" customHeight="1">
      <c r="A313" s="36" t="s">
        <v>606</v>
      </c>
      <c r="B313" s="36" t="s">
        <v>607</v>
      </c>
      <c r="C313" s="36">
        <v>0.0</v>
      </c>
      <c r="D313" s="36"/>
      <c r="E313" s="43">
        <v>0.0</v>
      </c>
      <c r="F313" s="36"/>
      <c r="G313" s="44"/>
      <c r="H313" s="35">
        <f t="shared" si="3"/>
        <v>0</v>
      </c>
      <c r="I313" s="36"/>
      <c r="J313" s="36"/>
      <c r="K313" s="35">
        <f t="shared" si="4"/>
        <v>0</v>
      </c>
    </row>
    <row r="314" ht="15.75" customHeight="1">
      <c r="A314" s="36" t="s">
        <v>608</v>
      </c>
      <c r="B314" s="36" t="s">
        <v>609</v>
      </c>
      <c r="C314" s="36">
        <v>2.0</v>
      </c>
      <c r="D314" s="36" t="s">
        <v>32</v>
      </c>
      <c r="E314" s="43">
        <v>180.8</v>
      </c>
      <c r="F314" s="36"/>
      <c r="G314" s="44"/>
      <c r="H314" s="35">
        <f t="shared" si="3"/>
        <v>0</v>
      </c>
      <c r="I314" s="36"/>
      <c r="J314" s="36"/>
      <c r="K314" s="35">
        <f t="shared" si="4"/>
        <v>0</v>
      </c>
    </row>
    <row r="315" ht="15.75" customHeight="1">
      <c r="A315" s="36" t="s">
        <v>610</v>
      </c>
      <c r="B315" s="36" t="s">
        <v>611</v>
      </c>
      <c r="C315" s="36">
        <v>3.0</v>
      </c>
      <c r="D315" s="36" t="s">
        <v>32</v>
      </c>
      <c r="E315" s="43">
        <v>192.1</v>
      </c>
      <c r="F315" s="36"/>
      <c r="G315" s="44"/>
      <c r="H315" s="35">
        <f t="shared" si="3"/>
        <v>0</v>
      </c>
      <c r="I315" s="36"/>
      <c r="J315" s="36"/>
      <c r="K315" s="35">
        <f t="shared" si="4"/>
        <v>0</v>
      </c>
    </row>
    <row r="316" ht="15.75" customHeight="1">
      <c r="A316" s="36" t="s">
        <v>612</v>
      </c>
      <c r="B316" s="36" t="s">
        <v>613</v>
      </c>
      <c r="C316" s="36">
        <v>2.0</v>
      </c>
      <c r="D316" s="36" t="s">
        <v>32</v>
      </c>
      <c r="E316" s="43">
        <v>209.05</v>
      </c>
      <c r="F316" s="36"/>
      <c r="G316" s="44"/>
      <c r="H316" s="35">
        <f t="shared" si="3"/>
        <v>0</v>
      </c>
      <c r="I316" s="36"/>
      <c r="J316" s="36"/>
      <c r="K316" s="35">
        <f t="shared" si="4"/>
        <v>0</v>
      </c>
    </row>
    <row r="317" ht="15.75" customHeight="1">
      <c r="A317" s="36" t="s">
        <v>614</v>
      </c>
      <c r="B317" s="36" t="s">
        <v>615</v>
      </c>
      <c r="C317" s="36">
        <v>1.0</v>
      </c>
      <c r="D317" s="36" t="s">
        <v>485</v>
      </c>
      <c r="E317" s="43">
        <v>1400.0</v>
      </c>
      <c r="F317" s="36">
        <v>0.25</v>
      </c>
      <c r="G317" s="44"/>
      <c r="H317" s="35">
        <f t="shared" si="3"/>
        <v>350</v>
      </c>
      <c r="I317" s="36"/>
      <c r="J317" s="36">
        <v>0.25</v>
      </c>
      <c r="K317" s="35">
        <f t="shared" si="4"/>
        <v>350</v>
      </c>
    </row>
    <row r="318" ht="15.75" customHeight="1">
      <c r="A318" s="36" t="s">
        <v>616</v>
      </c>
      <c r="B318" s="36" t="s">
        <v>617</v>
      </c>
      <c r="C318" s="36">
        <v>1.0</v>
      </c>
      <c r="D318" s="36" t="s">
        <v>485</v>
      </c>
      <c r="E318" s="43">
        <v>800.0</v>
      </c>
      <c r="F318" s="36"/>
      <c r="G318" s="44"/>
      <c r="H318" s="35">
        <f t="shared" si="3"/>
        <v>0</v>
      </c>
      <c r="I318" s="36"/>
      <c r="J318" s="36"/>
      <c r="K318" s="35">
        <f t="shared" si="4"/>
        <v>0</v>
      </c>
    </row>
    <row r="319" ht="15.75" customHeight="1">
      <c r="A319" s="36" t="s">
        <v>618</v>
      </c>
      <c r="B319" s="36" t="s">
        <v>619</v>
      </c>
      <c r="C319" s="36">
        <v>1.0</v>
      </c>
      <c r="D319" s="36" t="s">
        <v>485</v>
      </c>
      <c r="E319" s="43">
        <v>1800.0</v>
      </c>
      <c r="F319" s="36"/>
      <c r="G319" s="44"/>
      <c r="H319" s="35">
        <f t="shared" si="3"/>
        <v>0</v>
      </c>
      <c r="I319" s="36"/>
      <c r="J319" s="36"/>
      <c r="K319" s="35">
        <f t="shared" si="4"/>
        <v>0</v>
      </c>
    </row>
    <row r="320" ht="15.75" customHeight="1">
      <c r="A320" s="36" t="s">
        <v>620</v>
      </c>
      <c r="B320" s="36" t="s">
        <v>621</v>
      </c>
      <c r="C320" s="36">
        <v>1.0</v>
      </c>
      <c r="D320" s="36" t="s">
        <v>485</v>
      </c>
      <c r="E320" s="43">
        <v>690.0</v>
      </c>
      <c r="F320" s="36">
        <v>0.25</v>
      </c>
      <c r="G320" s="44"/>
      <c r="H320" s="35">
        <f t="shared" si="3"/>
        <v>172.5</v>
      </c>
      <c r="I320" s="36"/>
      <c r="J320" s="36">
        <v>0.25</v>
      </c>
      <c r="K320" s="35">
        <f t="shared" si="4"/>
        <v>172.5</v>
      </c>
    </row>
    <row r="321" ht="15.75" customHeight="1">
      <c r="A321" s="36" t="s">
        <v>622</v>
      </c>
      <c r="B321" s="36" t="s">
        <v>623</v>
      </c>
      <c r="C321" s="36">
        <v>1.0</v>
      </c>
      <c r="D321" s="36" t="s">
        <v>485</v>
      </c>
      <c r="E321" s="43">
        <v>904.0</v>
      </c>
      <c r="F321" s="36"/>
      <c r="G321" s="44"/>
      <c r="H321" s="35">
        <f t="shared" si="3"/>
        <v>0</v>
      </c>
      <c r="I321" s="36"/>
      <c r="J321" s="36"/>
      <c r="K321" s="35">
        <f t="shared" si="4"/>
        <v>0</v>
      </c>
    </row>
    <row r="322" ht="15.75" customHeight="1">
      <c r="A322" s="36" t="s">
        <v>624</v>
      </c>
      <c r="B322" s="36" t="s">
        <v>625</v>
      </c>
      <c r="C322" s="36">
        <v>1.0</v>
      </c>
      <c r="D322" s="36" t="s">
        <v>485</v>
      </c>
      <c r="E322" s="43">
        <v>1740.0</v>
      </c>
      <c r="F322" s="36"/>
      <c r="G322" s="44"/>
      <c r="H322" s="35">
        <f t="shared" si="3"/>
        <v>0</v>
      </c>
      <c r="I322" s="36"/>
      <c r="J322" s="36"/>
      <c r="K322" s="35">
        <f t="shared" si="4"/>
        <v>0</v>
      </c>
    </row>
    <row r="323" ht="15.75" customHeight="1">
      <c r="A323" s="36" t="s">
        <v>626</v>
      </c>
      <c r="B323" s="36" t="s">
        <v>627</v>
      </c>
      <c r="C323" s="36">
        <v>1.0</v>
      </c>
      <c r="D323" s="36" t="s">
        <v>485</v>
      </c>
      <c r="E323" s="43">
        <v>1450.0</v>
      </c>
      <c r="F323" s="36"/>
      <c r="G323" s="44"/>
      <c r="H323" s="35">
        <f t="shared" si="3"/>
        <v>0</v>
      </c>
      <c r="I323" s="36"/>
      <c r="J323" s="36"/>
      <c r="K323" s="35">
        <f t="shared" si="4"/>
        <v>0</v>
      </c>
    </row>
    <row r="324" ht="15.75" customHeight="1">
      <c r="A324" s="36" t="s">
        <v>628</v>
      </c>
      <c r="B324" s="36" t="s">
        <v>629</v>
      </c>
      <c r="C324" s="36">
        <v>1.0</v>
      </c>
      <c r="D324" s="36" t="s">
        <v>485</v>
      </c>
      <c r="E324" s="43">
        <v>350.0</v>
      </c>
      <c r="F324" s="36"/>
      <c r="G324" s="44"/>
      <c r="H324" s="35">
        <f t="shared" si="3"/>
        <v>0</v>
      </c>
      <c r="I324" s="36"/>
      <c r="J324" s="36"/>
      <c r="K324" s="35">
        <f t="shared" si="4"/>
        <v>0</v>
      </c>
    </row>
    <row r="325" ht="15.75" customHeight="1">
      <c r="A325" s="36" t="s">
        <v>630</v>
      </c>
      <c r="B325" s="36" t="s">
        <v>631</v>
      </c>
      <c r="C325" s="36">
        <v>1.0</v>
      </c>
      <c r="D325" s="36" t="s">
        <v>485</v>
      </c>
      <c r="E325" s="43">
        <v>79.38</v>
      </c>
      <c r="F325" s="36"/>
      <c r="G325" s="44"/>
      <c r="H325" s="35">
        <f t="shared" si="3"/>
        <v>0</v>
      </c>
      <c r="I325" s="36"/>
      <c r="J325" s="36"/>
      <c r="K325" s="35">
        <f t="shared" si="4"/>
        <v>0</v>
      </c>
    </row>
    <row r="326" ht="15.75" customHeight="1">
      <c r="A326" s="36" t="s">
        <v>632</v>
      </c>
      <c r="B326" s="36" t="s">
        <v>633</v>
      </c>
      <c r="C326" s="36">
        <v>1.0</v>
      </c>
      <c r="D326" s="36" t="s">
        <v>485</v>
      </c>
      <c r="E326" s="43">
        <v>1000.0</v>
      </c>
      <c r="F326" s="36"/>
      <c r="G326" s="44"/>
      <c r="H326" s="35">
        <f t="shared" si="3"/>
        <v>0</v>
      </c>
      <c r="I326" s="36"/>
      <c r="J326" s="36"/>
      <c r="K326" s="35">
        <f t="shared" si="4"/>
        <v>0</v>
      </c>
    </row>
    <row r="327" ht="15.75" customHeight="1">
      <c r="A327" s="36" t="s">
        <v>634</v>
      </c>
      <c r="B327" s="36" t="s">
        <v>635</v>
      </c>
      <c r="C327" s="36">
        <v>60.0</v>
      </c>
      <c r="D327" s="36" t="s">
        <v>636</v>
      </c>
      <c r="E327" s="43">
        <v>10.0</v>
      </c>
      <c r="F327" s="36">
        <v>8.0</v>
      </c>
      <c r="G327" s="44"/>
      <c r="H327" s="35">
        <f t="shared" si="3"/>
        <v>80</v>
      </c>
      <c r="I327" s="36"/>
      <c r="J327" s="36">
        <v>8.0</v>
      </c>
      <c r="K327" s="35">
        <f t="shared" si="4"/>
        <v>80</v>
      </c>
    </row>
    <row r="328" ht="15.75" customHeight="1">
      <c r="A328" s="36" t="s">
        <v>637</v>
      </c>
      <c r="B328" s="36" t="s">
        <v>638</v>
      </c>
      <c r="C328" s="36">
        <v>1.0</v>
      </c>
      <c r="D328" s="36" t="s">
        <v>485</v>
      </c>
      <c r="E328" s="43">
        <v>2800.0</v>
      </c>
      <c r="F328" s="36">
        <v>0.25</v>
      </c>
      <c r="G328" s="44"/>
      <c r="H328" s="35">
        <f t="shared" si="3"/>
        <v>700</v>
      </c>
      <c r="I328" s="36"/>
      <c r="J328" s="36">
        <v>0.25</v>
      </c>
      <c r="K328" s="35">
        <f t="shared" si="4"/>
        <v>700</v>
      </c>
    </row>
    <row r="329" ht="15.75" customHeight="1">
      <c r="A329" s="36"/>
      <c r="B329" s="36" t="s">
        <v>639</v>
      </c>
      <c r="C329" s="36"/>
      <c r="D329" s="36"/>
      <c r="E329" s="43"/>
      <c r="F329" s="36"/>
      <c r="G329" s="44"/>
      <c r="H329" s="35">
        <f t="shared" si="3"/>
        <v>0</v>
      </c>
      <c r="I329" s="36"/>
      <c r="J329" s="36"/>
      <c r="K329" s="35">
        <f t="shared" si="4"/>
        <v>0</v>
      </c>
    </row>
    <row r="330" ht="15.75" customHeight="1">
      <c r="A330" s="36"/>
      <c r="B330" s="36" t="s">
        <v>639</v>
      </c>
      <c r="C330" s="36"/>
      <c r="D330" s="36"/>
      <c r="E330" s="43"/>
      <c r="F330" s="36"/>
      <c r="G330" s="44"/>
      <c r="H330" s="35">
        <f t="shared" si="3"/>
        <v>0</v>
      </c>
      <c r="I330" s="36"/>
      <c r="J330" s="36"/>
      <c r="K330" s="35">
        <f t="shared" si="4"/>
        <v>0</v>
      </c>
    </row>
    <row r="331" ht="15.75" customHeight="1">
      <c r="A331" s="36" t="s">
        <v>640</v>
      </c>
      <c r="B331" s="36" t="s">
        <v>641</v>
      </c>
      <c r="C331" s="36">
        <v>4.0</v>
      </c>
      <c r="D331" s="36" t="s">
        <v>32</v>
      </c>
      <c r="E331" s="43">
        <v>1126.0</v>
      </c>
      <c r="F331" s="36"/>
      <c r="G331" s="44"/>
      <c r="H331" s="35">
        <f t="shared" si="3"/>
        <v>0</v>
      </c>
      <c r="I331" s="36"/>
      <c r="J331" s="36"/>
      <c r="K331" s="35">
        <f t="shared" si="4"/>
        <v>0</v>
      </c>
    </row>
    <row r="332" ht="15.75" customHeight="1">
      <c r="A332" s="36" t="s">
        <v>642</v>
      </c>
      <c r="B332" s="36" t="s">
        <v>643</v>
      </c>
      <c r="C332" s="36">
        <v>4.0</v>
      </c>
      <c r="D332" s="36" t="s">
        <v>32</v>
      </c>
      <c r="E332" s="43">
        <v>660.0</v>
      </c>
      <c r="F332" s="36"/>
      <c r="G332" s="44"/>
      <c r="H332" s="35">
        <f t="shared" si="3"/>
        <v>0</v>
      </c>
      <c r="I332" s="36"/>
      <c r="J332" s="36"/>
      <c r="K332" s="35">
        <f t="shared" si="4"/>
        <v>0</v>
      </c>
    </row>
    <row r="333" ht="15.75" customHeight="1">
      <c r="B333" s="55" t="s">
        <v>378</v>
      </c>
      <c r="C333" s="36"/>
      <c r="D333" s="36"/>
      <c r="E333" s="43"/>
      <c r="F333" s="36"/>
      <c r="G333" s="44"/>
      <c r="H333" s="35">
        <f t="shared" si="3"/>
        <v>0</v>
      </c>
      <c r="I333" s="36"/>
      <c r="J333" s="36"/>
      <c r="K333" s="36"/>
    </row>
    <row r="334" ht="15.75" customHeight="1">
      <c r="A334" s="36"/>
      <c r="B334" s="45" t="s">
        <v>644</v>
      </c>
      <c r="C334" s="36"/>
      <c r="D334" s="36"/>
      <c r="E334" s="43"/>
      <c r="F334" s="36"/>
      <c r="G334" s="44"/>
      <c r="H334" s="35">
        <f t="shared" si="3"/>
        <v>0</v>
      </c>
      <c r="I334" s="36"/>
      <c r="J334" s="36"/>
      <c r="K334" s="36"/>
    </row>
    <row r="335" ht="15.75" customHeight="1">
      <c r="A335" s="46" t="s">
        <v>645</v>
      </c>
      <c r="B335" s="46" t="s">
        <v>646</v>
      </c>
      <c r="C335" s="46">
        <v>10.0</v>
      </c>
      <c r="D335" s="46" t="s">
        <v>32</v>
      </c>
      <c r="E335" s="47">
        <v>229.2</v>
      </c>
      <c r="F335" s="46"/>
      <c r="G335" s="48"/>
      <c r="H335" s="35">
        <f t="shared" si="3"/>
        <v>0</v>
      </c>
      <c r="I335" s="46" t="s">
        <v>647</v>
      </c>
      <c r="J335" s="46"/>
      <c r="K335" s="46"/>
    </row>
    <row r="336" ht="15.75" customHeight="1">
      <c r="A336" s="46" t="s">
        <v>648</v>
      </c>
      <c r="B336" s="46" t="s">
        <v>649</v>
      </c>
      <c r="C336" s="46">
        <v>10.0</v>
      </c>
      <c r="D336" s="46" t="s">
        <v>32</v>
      </c>
      <c r="E336" s="47">
        <v>67.54</v>
      </c>
      <c r="F336" s="46"/>
      <c r="G336" s="48"/>
      <c r="H336" s="35">
        <f t="shared" si="3"/>
        <v>0</v>
      </c>
      <c r="I336" s="46" t="s">
        <v>650</v>
      </c>
      <c r="J336" s="36"/>
      <c r="K336" s="36"/>
    </row>
    <row r="337" ht="15.75" customHeight="1">
      <c r="A337" s="46" t="s">
        <v>651</v>
      </c>
      <c r="B337" s="46" t="s">
        <v>652</v>
      </c>
      <c r="C337" s="46">
        <v>11.0</v>
      </c>
      <c r="D337" s="46" t="s">
        <v>32</v>
      </c>
      <c r="E337" s="47">
        <v>139.39</v>
      </c>
      <c r="F337" s="46"/>
      <c r="G337" s="48"/>
      <c r="H337" s="35">
        <f t="shared" si="3"/>
        <v>0</v>
      </c>
      <c r="I337" s="46" t="s">
        <v>653</v>
      </c>
      <c r="J337" s="36"/>
      <c r="K337" s="36"/>
    </row>
    <row r="338" ht="15.75" customHeight="1">
      <c r="A338" s="46" t="s">
        <v>654</v>
      </c>
      <c r="B338" s="46" t="s">
        <v>655</v>
      </c>
      <c r="C338" s="46">
        <v>2.0</v>
      </c>
      <c r="D338" s="46" t="s">
        <v>32</v>
      </c>
      <c r="E338" s="47">
        <v>250.95</v>
      </c>
      <c r="F338" s="46"/>
      <c r="G338" s="48"/>
      <c r="H338" s="35">
        <f t="shared" si="3"/>
        <v>0</v>
      </c>
      <c r="I338" s="46" t="s">
        <v>656</v>
      </c>
      <c r="J338" s="36"/>
      <c r="K338" s="36"/>
    </row>
    <row r="339" ht="15.75" customHeight="1">
      <c r="A339" s="46" t="s">
        <v>657</v>
      </c>
      <c r="B339" s="56" t="s">
        <v>658</v>
      </c>
      <c r="C339" s="46">
        <v>2.0</v>
      </c>
      <c r="D339" s="46" t="s">
        <v>32</v>
      </c>
      <c r="E339" s="47">
        <v>155.49</v>
      </c>
      <c r="F339" s="46"/>
      <c r="G339" s="48"/>
      <c r="H339" s="35">
        <f t="shared" si="3"/>
        <v>0</v>
      </c>
      <c r="I339" s="46" t="s">
        <v>659</v>
      </c>
      <c r="J339" s="36"/>
      <c r="K339" s="36"/>
    </row>
    <row r="340" ht="15.75" customHeight="1">
      <c r="A340" s="46" t="s">
        <v>660</v>
      </c>
      <c r="B340" s="56" t="s">
        <v>661</v>
      </c>
      <c r="C340" s="46">
        <v>2.0</v>
      </c>
      <c r="D340" s="46" t="s">
        <v>32</v>
      </c>
      <c r="E340" s="47">
        <v>151.93</v>
      </c>
      <c r="F340" s="46"/>
      <c r="G340" s="48"/>
      <c r="H340" s="35">
        <f t="shared" si="3"/>
        <v>0</v>
      </c>
      <c r="I340" s="46" t="s">
        <v>662</v>
      </c>
      <c r="J340" s="36"/>
      <c r="K340" s="36"/>
    </row>
    <row r="341" ht="15.75" customHeight="1">
      <c r="A341" s="46" t="s">
        <v>663</v>
      </c>
      <c r="B341" s="56" t="s">
        <v>664</v>
      </c>
      <c r="C341" s="46">
        <v>5.0</v>
      </c>
      <c r="D341" s="46" t="s">
        <v>32</v>
      </c>
      <c r="E341" s="47">
        <v>1579.1</v>
      </c>
      <c r="F341" s="46">
        <v>5.0</v>
      </c>
      <c r="G341" s="48"/>
      <c r="H341" s="35">
        <f t="shared" si="3"/>
        <v>7895.5</v>
      </c>
      <c r="I341" s="46" t="s">
        <v>665</v>
      </c>
      <c r="J341" s="36"/>
      <c r="K341" s="36"/>
    </row>
    <row r="342" ht="15.75" customHeight="1">
      <c r="A342" s="46" t="s">
        <v>666</v>
      </c>
      <c r="B342" s="56" t="s">
        <v>667</v>
      </c>
      <c r="C342" s="46">
        <v>1.0</v>
      </c>
      <c r="D342" s="46" t="s">
        <v>32</v>
      </c>
      <c r="E342" s="47">
        <v>292.61</v>
      </c>
      <c r="F342" s="46"/>
      <c r="G342" s="48"/>
      <c r="H342" s="35">
        <f t="shared" si="3"/>
        <v>0</v>
      </c>
      <c r="I342" s="46" t="s">
        <v>668</v>
      </c>
      <c r="J342" s="36"/>
      <c r="K342" s="36"/>
    </row>
    <row r="343" ht="15.75" customHeight="1">
      <c r="A343" s="46" t="s">
        <v>669</v>
      </c>
      <c r="B343" s="46" t="s">
        <v>670</v>
      </c>
      <c r="C343" s="46">
        <v>5.0</v>
      </c>
      <c r="D343" s="46" t="s">
        <v>32</v>
      </c>
      <c r="E343" s="47">
        <v>129.98</v>
      </c>
      <c r="F343" s="46"/>
      <c r="G343" s="48"/>
      <c r="H343" s="35">
        <f t="shared" si="3"/>
        <v>0</v>
      </c>
      <c r="I343" s="46" t="s">
        <v>671</v>
      </c>
      <c r="J343" s="36"/>
      <c r="K343" s="36"/>
    </row>
    <row r="344" ht="15.75" customHeight="1">
      <c r="A344" s="46" t="s">
        <v>672</v>
      </c>
      <c r="B344" s="46" t="s">
        <v>673</v>
      </c>
      <c r="C344" s="46">
        <v>1.0</v>
      </c>
      <c r="D344" s="46" t="s">
        <v>32</v>
      </c>
      <c r="E344" s="47">
        <v>99.88</v>
      </c>
      <c r="F344" s="46"/>
      <c r="G344" s="48"/>
      <c r="H344" s="35">
        <f t="shared" si="3"/>
        <v>0</v>
      </c>
      <c r="I344" s="46" t="s">
        <v>674</v>
      </c>
      <c r="J344" s="36"/>
      <c r="K344" s="36"/>
    </row>
    <row r="345" ht="15.75" customHeight="1">
      <c r="A345" s="46" t="s">
        <v>675</v>
      </c>
      <c r="B345" s="56" t="s">
        <v>676</v>
      </c>
      <c r="C345" s="46">
        <v>20.0</v>
      </c>
      <c r="D345" s="46" t="s">
        <v>32</v>
      </c>
      <c r="E345" s="47">
        <v>1077.79</v>
      </c>
      <c r="F345" s="46">
        <v>20.0</v>
      </c>
      <c r="G345" s="48"/>
      <c r="H345" s="35">
        <f t="shared" si="3"/>
        <v>21555.8</v>
      </c>
      <c r="I345" s="46" t="s">
        <v>677</v>
      </c>
      <c r="J345" s="36"/>
      <c r="K345" s="36"/>
    </row>
    <row r="346" ht="15.75" customHeight="1">
      <c r="A346" s="46" t="s">
        <v>678</v>
      </c>
      <c r="B346" s="46" t="s">
        <v>679</v>
      </c>
      <c r="C346" s="46">
        <v>6.0</v>
      </c>
      <c r="D346" s="46" t="s">
        <v>32</v>
      </c>
      <c r="E346" s="47">
        <v>192.74</v>
      </c>
      <c r="F346" s="46"/>
      <c r="G346" s="48"/>
      <c r="H346" s="35">
        <f t="shared" si="3"/>
        <v>0</v>
      </c>
      <c r="I346" s="46" t="s">
        <v>680</v>
      </c>
      <c r="J346" s="36"/>
      <c r="K346" s="36"/>
    </row>
    <row r="347" ht="15.75" customHeight="1">
      <c r="A347" s="46" t="s">
        <v>681</v>
      </c>
      <c r="B347" s="46" t="s">
        <v>682</v>
      </c>
      <c r="C347" s="46">
        <v>6.0</v>
      </c>
      <c r="D347" s="46" t="s">
        <v>32</v>
      </c>
      <c r="E347" s="47">
        <v>283.83</v>
      </c>
      <c r="F347" s="46"/>
      <c r="G347" s="48"/>
      <c r="H347" s="35">
        <f t="shared" si="3"/>
        <v>0</v>
      </c>
      <c r="I347" s="46" t="s">
        <v>683</v>
      </c>
      <c r="J347" s="36"/>
      <c r="K347" s="36"/>
    </row>
    <row r="348" ht="15.75" customHeight="1">
      <c r="A348" s="46" t="s">
        <v>684</v>
      </c>
      <c r="B348" s="46" t="s">
        <v>685</v>
      </c>
      <c r="C348" s="46">
        <v>6.0</v>
      </c>
      <c r="D348" s="46" t="s">
        <v>32</v>
      </c>
      <c r="E348" s="47">
        <v>211.42</v>
      </c>
      <c r="F348" s="46"/>
      <c r="G348" s="48"/>
      <c r="H348" s="35">
        <f t="shared" si="3"/>
        <v>0</v>
      </c>
      <c r="I348" s="46" t="s">
        <v>686</v>
      </c>
      <c r="J348" s="36"/>
      <c r="K348" s="36"/>
    </row>
    <row r="349" ht="15.75" customHeight="1">
      <c r="A349" s="46" t="s">
        <v>687</v>
      </c>
      <c r="B349" s="46" t="s">
        <v>688</v>
      </c>
      <c r="C349" s="46">
        <v>6.0</v>
      </c>
      <c r="D349" s="46" t="s">
        <v>32</v>
      </c>
      <c r="E349" s="47">
        <v>163.71</v>
      </c>
      <c r="F349" s="46"/>
      <c r="G349" s="48"/>
      <c r="H349" s="35">
        <f t="shared" si="3"/>
        <v>0</v>
      </c>
      <c r="I349" s="46" t="s">
        <v>689</v>
      </c>
      <c r="J349" s="36"/>
      <c r="K349" s="36"/>
    </row>
    <row r="350" ht="15.75" customHeight="1">
      <c r="A350" s="46" t="s">
        <v>690</v>
      </c>
      <c r="B350" s="46" t="s">
        <v>691</v>
      </c>
      <c r="C350" s="46">
        <v>6.0</v>
      </c>
      <c r="D350" s="46" t="s">
        <v>32</v>
      </c>
      <c r="E350" s="47">
        <v>196.47</v>
      </c>
      <c r="F350" s="46"/>
      <c r="G350" s="48"/>
      <c r="H350" s="35">
        <f t="shared" si="3"/>
        <v>0</v>
      </c>
      <c r="I350" s="46" t="s">
        <v>692</v>
      </c>
      <c r="J350" s="36"/>
      <c r="K350" s="36"/>
    </row>
    <row r="351" ht="15.75" customHeight="1">
      <c r="A351" s="46" t="s">
        <v>693</v>
      </c>
      <c r="B351" s="46" t="s">
        <v>694</v>
      </c>
      <c r="C351" s="46">
        <v>6.0</v>
      </c>
      <c r="D351" s="46" t="s">
        <v>32</v>
      </c>
      <c r="E351" s="47">
        <v>163.71</v>
      </c>
      <c r="F351" s="46"/>
      <c r="G351" s="48"/>
      <c r="H351" s="35">
        <f t="shared" si="3"/>
        <v>0</v>
      </c>
      <c r="I351" s="46" t="s">
        <v>695</v>
      </c>
      <c r="J351" s="36"/>
      <c r="K351" s="36"/>
    </row>
    <row r="352" ht="15.75" customHeight="1">
      <c r="A352" s="46" t="s">
        <v>696</v>
      </c>
      <c r="B352" s="46" t="s">
        <v>697</v>
      </c>
      <c r="C352" s="46">
        <v>10.0</v>
      </c>
      <c r="D352" s="46" t="s">
        <v>32</v>
      </c>
      <c r="E352" s="47">
        <v>200.98</v>
      </c>
      <c r="F352" s="46"/>
      <c r="G352" s="48"/>
      <c r="H352" s="35">
        <f t="shared" si="3"/>
        <v>0</v>
      </c>
      <c r="I352" s="46" t="s">
        <v>698</v>
      </c>
      <c r="J352" s="36"/>
      <c r="K352" s="36"/>
    </row>
    <row r="353" ht="15.75" customHeight="1">
      <c r="A353" s="46"/>
      <c r="B353" s="45" t="s">
        <v>468</v>
      </c>
      <c r="C353" s="46"/>
      <c r="D353" s="46"/>
      <c r="E353" s="47"/>
      <c r="F353" s="46"/>
      <c r="G353" s="48"/>
      <c r="H353" s="35">
        <f t="shared" si="3"/>
        <v>0</v>
      </c>
      <c r="I353" s="46"/>
      <c r="J353" s="36"/>
      <c r="K353" s="36"/>
    </row>
    <row r="354" ht="15.75" customHeight="1">
      <c r="A354" s="46"/>
      <c r="B354" s="45" t="s">
        <v>699</v>
      </c>
      <c r="C354" s="46"/>
      <c r="D354" s="46"/>
      <c r="E354" s="47"/>
      <c r="F354" s="46"/>
      <c r="G354" s="48"/>
      <c r="H354" s="35">
        <f t="shared" si="3"/>
        <v>0</v>
      </c>
      <c r="I354" s="46"/>
      <c r="J354" s="36"/>
      <c r="K354" s="36"/>
    </row>
    <row r="355" ht="15.75" customHeight="1">
      <c r="A355" s="46" t="s">
        <v>700</v>
      </c>
      <c r="B355" s="56" t="s">
        <v>701</v>
      </c>
      <c r="C355" s="46">
        <v>2.0</v>
      </c>
      <c r="D355" s="46" t="s">
        <v>32</v>
      </c>
      <c r="E355" s="47">
        <v>2802.94</v>
      </c>
      <c r="F355" s="46">
        <v>2.0</v>
      </c>
      <c r="G355" s="48"/>
      <c r="H355" s="35">
        <f t="shared" si="3"/>
        <v>5605.88</v>
      </c>
      <c r="I355" s="46" t="s">
        <v>702</v>
      </c>
      <c r="J355" s="36"/>
      <c r="K355" s="36"/>
    </row>
    <row r="356" ht="15.75" customHeight="1">
      <c r="A356" s="46" t="s">
        <v>703</v>
      </c>
      <c r="B356" s="46" t="s">
        <v>704</v>
      </c>
      <c r="C356" s="46">
        <v>2.0</v>
      </c>
      <c r="D356" s="46" t="s">
        <v>32</v>
      </c>
      <c r="E356" s="47">
        <v>825.21</v>
      </c>
      <c r="F356" s="46">
        <v>2.0</v>
      </c>
      <c r="G356" s="48"/>
      <c r="H356" s="35">
        <f t="shared" si="3"/>
        <v>1650.42</v>
      </c>
      <c r="I356" s="46" t="s">
        <v>705</v>
      </c>
      <c r="J356" s="36"/>
      <c r="K356" s="36"/>
    </row>
    <row r="357" ht="15.75" customHeight="1">
      <c r="A357" s="46" t="s">
        <v>706</v>
      </c>
      <c r="B357" s="46" t="s">
        <v>707</v>
      </c>
      <c r="C357" s="46">
        <v>4.0</v>
      </c>
      <c r="D357" s="46" t="s">
        <v>32</v>
      </c>
      <c r="E357" s="47">
        <v>552.78</v>
      </c>
      <c r="F357" s="46">
        <v>4.0</v>
      </c>
      <c r="G357" s="48"/>
      <c r="H357" s="35">
        <f t="shared" si="3"/>
        <v>2211.12</v>
      </c>
      <c r="I357" s="46" t="s">
        <v>708</v>
      </c>
      <c r="J357" s="36"/>
      <c r="K357" s="36"/>
    </row>
    <row r="358" ht="15.75" customHeight="1">
      <c r="A358" s="46" t="s">
        <v>709</v>
      </c>
      <c r="B358" s="46" t="s">
        <v>710</v>
      </c>
      <c r="C358" s="46">
        <v>4.0</v>
      </c>
      <c r="D358" s="46" t="s">
        <v>32</v>
      </c>
      <c r="E358" s="47">
        <v>162.5</v>
      </c>
      <c r="F358" s="46">
        <v>4.0</v>
      </c>
      <c r="G358" s="48"/>
      <c r="H358" s="35">
        <f t="shared" si="3"/>
        <v>650</v>
      </c>
      <c r="I358" s="46" t="s">
        <v>711</v>
      </c>
      <c r="J358" s="36"/>
      <c r="K358" s="36"/>
    </row>
    <row r="359" ht="15.75" customHeight="1">
      <c r="A359" s="46" t="s">
        <v>712</v>
      </c>
      <c r="B359" s="46" t="s">
        <v>713</v>
      </c>
      <c r="C359" s="46">
        <v>1.0</v>
      </c>
      <c r="D359" s="46" t="s">
        <v>32</v>
      </c>
      <c r="E359" s="47">
        <v>475.86</v>
      </c>
      <c r="F359" s="46">
        <v>1.0</v>
      </c>
      <c r="G359" s="48"/>
      <c r="H359" s="35">
        <f t="shared" si="3"/>
        <v>475.86</v>
      </c>
      <c r="I359" s="46" t="s">
        <v>714</v>
      </c>
      <c r="J359" s="36"/>
      <c r="K359" s="36"/>
    </row>
    <row r="360" ht="15.75" customHeight="1">
      <c r="A360" s="46" t="s">
        <v>715</v>
      </c>
      <c r="B360" s="46" t="s">
        <v>716</v>
      </c>
      <c r="C360" s="46">
        <v>1.0</v>
      </c>
      <c r="D360" s="46" t="s">
        <v>32</v>
      </c>
      <c r="E360" s="47">
        <v>93.13</v>
      </c>
      <c r="F360" s="46">
        <v>1.0</v>
      </c>
      <c r="G360" s="48"/>
      <c r="H360" s="35">
        <f t="shared" si="3"/>
        <v>93.13</v>
      </c>
      <c r="I360" s="46" t="s">
        <v>717</v>
      </c>
      <c r="J360" s="36"/>
      <c r="K360" s="36"/>
    </row>
    <row r="361" ht="15.75" customHeight="1">
      <c r="A361" s="46"/>
      <c r="B361" s="45" t="s">
        <v>718</v>
      </c>
      <c r="C361" s="46"/>
      <c r="D361" s="46"/>
      <c r="E361" s="47"/>
      <c r="F361" s="46"/>
      <c r="G361" s="48"/>
      <c r="H361" s="35">
        <f t="shared" si="3"/>
        <v>0</v>
      </c>
      <c r="I361" s="46"/>
      <c r="J361" s="36"/>
      <c r="K361" s="36"/>
    </row>
    <row r="362" ht="15.75" customHeight="1">
      <c r="A362" s="46"/>
      <c r="B362" s="45" t="s">
        <v>719</v>
      </c>
      <c r="C362" s="46"/>
      <c r="D362" s="46"/>
      <c r="E362" s="47"/>
      <c r="F362" s="46"/>
      <c r="G362" s="48"/>
      <c r="H362" s="35">
        <f t="shared" si="3"/>
        <v>0</v>
      </c>
      <c r="I362" s="46"/>
      <c r="J362" s="36"/>
      <c r="K362" s="36"/>
    </row>
    <row r="363" ht="91.5" customHeight="1">
      <c r="A363" s="46" t="s">
        <v>720</v>
      </c>
      <c r="B363" s="56" t="s">
        <v>721</v>
      </c>
      <c r="C363" s="46">
        <v>1.0</v>
      </c>
      <c r="D363" s="46" t="s">
        <v>32</v>
      </c>
      <c r="E363" s="47">
        <v>1656.63</v>
      </c>
      <c r="F363" s="46"/>
      <c r="G363" s="48"/>
      <c r="H363" s="35">
        <f t="shared" si="3"/>
        <v>0</v>
      </c>
      <c r="I363" s="46" t="s">
        <v>722</v>
      </c>
      <c r="J363" s="36"/>
      <c r="K363" s="36"/>
    </row>
    <row r="364" ht="15.75" customHeight="1">
      <c r="A364" s="28"/>
      <c r="B364" s="28"/>
      <c r="C364" s="28"/>
      <c r="D364" s="28"/>
      <c r="E364" s="57"/>
      <c r="F364" s="28"/>
      <c r="G364" s="58"/>
      <c r="H364" s="59"/>
      <c r="I364" s="28"/>
    </row>
    <row r="365" ht="15.75" customHeight="1">
      <c r="A365" s="28"/>
      <c r="B365" s="28"/>
      <c r="C365" s="28"/>
      <c r="D365" s="28"/>
      <c r="E365" s="57"/>
      <c r="F365" s="28"/>
      <c r="G365" s="58"/>
      <c r="H365" s="59"/>
      <c r="I365" s="28"/>
    </row>
    <row r="366" ht="15.75" customHeight="1">
      <c r="A366" s="28"/>
      <c r="B366" s="8" t="s">
        <v>723</v>
      </c>
      <c r="C366" s="28"/>
      <c r="D366" s="28"/>
      <c r="E366" s="57"/>
      <c r="F366" s="28"/>
      <c r="G366" s="58"/>
      <c r="H366" s="59"/>
      <c r="I366" s="28"/>
    </row>
    <row r="367" ht="15.75" customHeight="1">
      <c r="A367" s="28"/>
      <c r="B367" s="28" t="s">
        <v>724</v>
      </c>
      <c r="C367" s="28"/>
      <c r="D367" s="28"/>
      <c r="E367" s="57"/>
      <c r="F367" s="28">
        <v>1.0</v>
      </c>
      <c r="G367" s="58"/>
      <c r="H367" s="59"/>
      <c r="I367" s="28" t="s">
        <v>725</v>
      </c>
    </row>
    <row r="368" ht="15.75" customHeight="1">
      <c r="E368" s="9"/>
      <c r="G368" s="10"/>
      <c r="H368" s="11"/>
    </row>
    <row r="369" ht="15.75" customHeight="1">
      <c r="A369" s="28"/>
      <c r="B369" s="28" t="s">
        <v>726</v>
      </c>
      <c r="C369" s="60"/>
      <c r="D369" s="28" t="s">
        <v>23</v>
      </c>
      <c r="E369" s="57"/>
      <c r="F369" s="28">
        <v>20.0</v>
      </c>
      <c r="G369" s="58"/>
      <c r="H369" s="59"/>
      <c r="I369" s="28"/>
    </row>
    <row r="370" ht="15.75" customHeight="1">
      <c r="A370" s="28"/>
      <c r="B370" s="28" t="s">
        <v>727</v>
      </c>
      <c r="C370" s="28"/>
      <c r="D370" s="28" t="s">
        <v>32</v>
      </c>
      <c r="E370" s="57"/>
      <c r="F370" s="28">
        <v>2.0</v>
      </c>
      <c r="G370" s="58"/>
      <c r="H370" s="59"/>
      <c r="I370" s="28"/>
    </row>
    <row r="371" ht="15.75" customHeight="1">
      <c r="A371" s="28"/>
      <c r="B371" s="28" t="s">
        <v>728</v>
      </c>
      <c r="C371" s="28"/>
      <c r="D371" s="28" t="s">
        <v>32</v>
      </c>
      <c r="E371" s="57"/>
      <c r="F371" s="28">
        <v>2.0</v>
      </c>
      <c r="G371" s="58"/>
      <c r="H371" s="59"/>
      <c r="I371" s="28"/>
    </row>
    <row r="372" ht="15.75" customHeight="1">
      <c r="A372" s="28"/>
      <c r="B372" s="28" t="s">
        <v>729</v>
      </c>
      <c r="C372" s="28"/>
      <c r="D372" s="28" t="s">
        <v>730</v>
      </c>
      <c r="E372" s="57"/>
      <c r="F372" s="28">
        <v>10.0</v>
      </c>
      <c r="G372" s="58"/>
      <c r="H372" s="59"/>
      <c r="I372" s="28"/>
    </row>
    <row r="373" ht="15.75" customHeight="1">
      <c r="A373" s="28"/>
      <c r="B373" s="28" t="s">
        <v>731</v>
      </c>
      <c r="C373" s="28"/>
      <c r="D373" s="28" t="s">
        <v>32</v>
      </c>
      <c r="E373" s="57"/>
      <c r="F373" s="28">
        <v>2.0</v>
      </c>
      <c r="G373" s="58"/>
      <c r="H373" s="59"/>
      <c r="I373" s="28"/>
    </row>
    <row r="374" ht="15.75" customHeight="1">
      <c r="A374" s="28"/>
      <c r="B374" s="28" t="s">
        <v>732</v>
      </c>
      <c r="C374" s="28"/>
      <c r="D374" s="28" t="s">
        <v>32</v>
      </c>
      <c r="E374" s="57"/>
      <c r="F374" s="28">
        <v>2.0</v>
      </c>
      <c r="G374" s="58"/>
      <c r="H374" s="59"/>
      <c r="I374" s="28"/>
    </row>
    <row r="375" ht="15.75" customHeight="1">
      <c r="A375" s="28"/>
      <c r="B375" s="28" t="s">
        <v>733</v>
      </c>
      <c r="C375" s="28"/>
      <c r="D375" s="28" t="s">
        <v>23</v>
      </c>
      <c r="E375" s="57"/>
      <c r="F375" s="28">
        <v>10.0</v>
      </c>
      <c r="G375" s="58"/>
      <c r="H375" s="59"/>
      <c r="I375" s="28"/>
    </row>
    <row r="376" ht="15.75" customHeight="1">
      <c r="B376" s="28" t="s">
        <v>734</v>
      </c>
      <c r="D376" s="28" t="s">
        <v>23</v>
      </c>
      <c r="E376" s="9"/>
      <c r="F376" s="28">
        <v>70.0</v>
      </c>
      <c r="G376" s="10"/>
      <c r="H376" s="11"/>
    </row>
    <row r="377" ht="15.75" customHeight="1">
      <c r="B377" s="28" t="s">
        <v>735</v>
      </c>
      <c r="D377" s="28" t="s">
        <v>32</v>
      </c>
      <c r="E377" s="9"/>
      <c r="F377" s="28">
        <v>13.0</v>
      </c>
      <c r="G377" s="10"/>
      <c r="H377" s="11"/>
    </row>
    <row r="378" ht="15.75" customHeight="1">
      <c r="B378" s="28" t="s">
        <v>736</v>
      </c>
      <c r="D378" s="28" t="s">
        <v>32</v>
      </c>
      <c r="E378" s="9"/>
      <c r="F378" s="28">
        <v>8.0</v>
      </c>
      <c r="G378" s="10"/>
      <c r="H378" s="11"/>
    </row>
    <row r="379" ht="15.75" customHeight="1">
      <c r="B379" s="28" t="s">
        <v>737</v>
      </c>
      <c r="D379" s="28" t="s">
        <v>32</v>
      </c>
      <c r="E379" s="9"/>
      <c r="F379" s="28">
        <v>1.0</v>
      </c>
      <c r="G379" s="10"/>
      <c r="H379" s="11"/>
    </row>
    <row r="380" ht="15.75" customHeight="1">
      <c r="B380" s="28" t="s">
        <v>738</v>
      </c>
      <c r="D380" s="28" t="s">
        <v>23</v>
      </c>
      <c r="E380" s="9"/>
      <c r="F380" s="28">
        <v>10.0</v>
      </c>
      <c r="G380" s="10"/>
      <c r="H380" s="11"/>
    </row>
    <row r="381" ht="15.75" customHeight="1">
      <c r="B381" s="28" t="s">
        <v>739</v>
      </c>
      <c r="D381" s="28" t="s">
        <v>23</v>
      </c>
      <c r="E381" s="9"/>
      <c r="F381" s="28">
        <v>10.0</v>
      </c>
      <c r="G381" s="10"/>
      <c r="H381" s="11"/>
    </row>
    <row r="382" ht="15.75" customHeight="1">
      <c r="B382" s="28" t="s">
        <v>740</v>
      </c>
      <c r="D382" s="28" t="s">
        <v>23</v>
      </c>
      <c r="E382" s="9"/>
      <c r="F382" s="28">
        <v>10.0</v>
      </c>
      <c r="G382" s="10"/>
      <c r="H382" s="11"/>
    </row>
    <row r="383" ht="15.75" customHeight="1">
      <c r="B383" s="28" t="s">
        <v>741</v>
      </c>
      <c r="D383" s="28" t="s">
        <v>32</v>
      </c>
      <c r="E383" s="9"/>
      <c r="F383" s="28">
        <v>1.0</v>
      </c>
      <c r="G383" s="10"/>
      <c r="H383" s="11"/>
    </row>
    <row r="384" ht="15.75" customHeight="1">
      <c r="B384" s="28" t="s">
        <v>742</v>
      </c>
      <c r="D384" s="28" t="s">
        <v>32</v>
      </c>
      <c r="E384" s="9"/>
      <c r="F384" s="28">
        <v>1.0</v>
      </c>
      <c r="G384" s="10"/>
      <c r="H384" s="11"/>
    </row>
    <row r="385" ht="15.75" customHeight="1">
      <c r="B385" s="28" t="s">
        <v>743</v>
      </c>
      <c r="D385" s="28" t="s">
        <v>23</v>
      </c>
      <c r="E385" s="9"/>
      <c r="F385" s="28">
        <v>4.0</v>
      </c>
      <c r="G385" s="10"/>
      <c r="H385" s="11"/>
    </row>
    <row r="386" ht="15.75" customHeight="1">
      <c r="B386" s="28" t="s">
        <v>744</v>
      </c>
      <c r="D386" s="28" t="s">
        <v>23</v>
      </c>
      <c r="E386" s="9"/>
      <c r="F386" s="28">
        <v>2.0</v>
      </c>
      <c r="G386" s="10"/>
      <c r="H386" s="11"/>
    </row>
    <row r="387" ht="15.75" customHeight="1">
      <c r="B387" s="28" t="s">
        <v>745</v>
      </c>
      <c r="D387" s="28" t="s">
        <v>23</v>
      </c>
      <c r="E387" s="9"/>
      <c r="F387" s="28">
        <v>2.0</v>
      </c>
      <c r="G387" s="10"/>
      <c r="H387" s="11"/>
    </row>
    <row r="388" ht="15.75" customHeight="1">
      <c r="B388" s="28" t="s">
        <v>746</v>
      </c>
      <c r="D388" s="28" t="s">
        <v>23</v>
      </c>
      <c r="E388" s="9"/>
      <c r="F388" s="28">
        <v>2.0</v>
      </c>
      <c r="G388" s="10"/>
      <c r="H388" s="11"/>
    </row>
    <row r="389" ht="15.75" customHeight="1">
      <c r="B389" s="28" t="s">
        <v>747</v>
      </c>
      <c r="D389" s="28" t="s">
        <v>32</v>
      </c>
      <c r="E389" s="9"/>
      <c r="F389" s="28">
        <v>3.0</v>
      </c>
      <c r="G389" s="10"/>
      <c r="H389" s="11"/>
    </row>
    <row r="390" ht="15.75" customHeight="1">
      <c r="B390" s="28" t="s">
        <v>748</v>
      </c>
      <c r="D390" s="28" t="s">
        <v>32</v>
      </c>
      <c r="E390" s="9"/>
      <c r="F390" s="28">
        <v>1.0</v>
      </c>
      <c r="G390" s="10"/>
      <c r="H390" s="11"/>
    </row>
    <row r="391" ht="15.75" customHeight="1">
      <c r="B391" s="28" t="s">
        <v>749</v>
      </c>
      <c r="D391" s="28" t="s">
        <v>32</v>
      </c>
      <c r="E391" s="9"/>
      <c r="F391" s="28">
        <v>2.0</v>
      </c>
      <c r="G391" s="10"/>
      <c r="H391" s="11"/>
    </row>
    <row r="392" ht="15.75" customHeight="1">
      <c r="B392" s="28" t="s">
        <v>750</v>
      </c>
      <c r="D392" s="28" t="s">
        <v>32</v>
      </c>
      <c r="E392" s="9"/>
      <c r="F392" s="28">
        <v>2.0</v>
      </c>
      <c r="G392" s="10"/>
      <c r="H392" s="11"/>
    </row>
    <row r="393" ht="15.75" customHeight="1">
      <c r="B393" s="28" t="s">
        <v>751</v>
      </c>
      <c r="D393" s="28" t="s">
        <v>32</v>
      </c>
      <c r="E393" s="9"/>
      <c r="F393" s="28">
        <v>100.0</v>
      </c>
      <c r="G393" s="10"/>
      <c r="H393" s="11"/>
    </row>
    <row r="394" ht="15.75" customHeight="1">
      <c r="B394" s="28" t="s">
        <v>752</v>
      </c>
      <c r="D394" s="28" t="s">
        <v>32</v>
      </c>
      <c r="E394" s="9"/>
      <c r="F394" s="28">
        <v>1.0</v>
      </c>
      <c r="G394" s="10"/>
      <c r="H394" s="11"/>
    </row>
    <row r="395" ht="15.75" customHeight="1">
      <c r="E395" s="9"/>
      <c r="G395" s="10"/>
      <c r="H395" s="11"/>
    </row>
    <row r="396" ht="15.75" customHeight="1">
      <c r="E396" s="9"/>
      <c r="G396" s="10"/>
      <c r="H396" s="11"/>
    </row>
    <row r="397" ht="15.75" customHeight="1">
      <c r="E397" s="9"/>
      <c r="G397" s="10"/>
      <c r="H397" s="11"/>
    </row>
    <row r="398" ht="15.75" customHeight="1">
      <c r="E398" s="9"/>
      <c r="G398" s="10"/>
      <c r="H398" s="11"/>
    </row>
    <row r="399" ht="15.75" customHeight="1">
      <c r="E399" s="9"/>
      <c r="G399" s="10"/>
      <c r="H399" s="11"/>
    </row>
    <row r="400" ht="15.75" customHeight="1">
      <c r="E400" s="9"/>
      <c r="G400" s="10"/>
      <c r="H400" s="11"/>
    </row>
    <row r="401" ht="15.75" customHeight="1">
      <c r="E401" s="9"/>
      <c r="G401" s="10"/>
      <c r="H401" s="11"/>
    </row>
    <row r="402" ht="15.75" customHeight="1">
      <c r="E402" s="9"/>
      <c r="G402" s="10"/>
      <c r="H402" s="11"/>
    </row>
    <row r="403" ht="15.75" customHeight="1">
      <c r="E403" s="9"/>
      <c r="G403" s="10"/>
      <c r="H403" s="11"/>
    </row>
    <row r="404" ht="15.75" customHeight="1">
      <c r="E404" s="9"/>
      <c r="G404" s="10"/>
      <c r="H404" s="11"/>
    </row>
    <row r="405" ht="15.75" customHeight="1">
      <c r="E405" s="9"/>
      <c r="G405" s="10"/>
      <c r="H405" s="11"/>
    </row>
    <row r="406" ht="15.75" customHeight="1">
      <c r="E406" s="9"/>
      <c r="G406" s="10"/>
      <c r="H406" s="11"/>
    </row>
    <row r="407" ht="15.75" customHeight="1">
      <c r="E407" s="9"/>
      <c r="G407" s="10"/>
      <c r="H407" s="11"/>
    </row>
    <row r="408" ht="15.75" customHeight="1">
      <c r="E408" s="9"/>
      <c r="G408" s="10"/>
      <c r="H408" s="11"/>
    </row>
    <row r="409" ht="15.75" customHeight="1">
      <c r="E409" s="9"/>
      <c r="G409" s="10"/>
      <c r="H409" s="11"/>
    </row>
    <row r="410" ht="15.75" customHeight="1">
      <c r="E410" s="9"/>
      <c r="G410" s="10"/>
      <c r="H410" s="11"/>
    </row>
    <row r="411" ht="15.75" customHeight="1">
      <c r="E411" s="9"/>
      <c r="G411" s="10"/>
      <c r="H411" s="11"/>
    </row>
    <row r="412" ht="15.75" customHeight="1">
      <c r="E412" s="9"/>
      <c r="G412" s="10"/>
      <c r="H412" s="11"/>
    </row>
    <row r="413" ht="15.75" customHeight="1">
      <c r="E413" s="9"/>
      <c r="G413" s="10"/>
      <c r="H413" s="11"/>
    </row>
    <row r="414" ht="15.75" customHeight="1">
      <c r="E414" s="9"/>
      <c r="G414" s="10"/>
      <c r="H414" s="11"/>
    </row>
    <row r="415" ht="15.75" customHeight="1">
      <c r="E415" s="9"/>
      <c r="G415" s="10"/>
      <c r="H415" s="11"/>
    </row>
    <row r="416" ht="15.75" customHeight="1">
      <c r="E416" s="9"/>
      <c r="G416" s="10"/>
      <c r="H416" s="11"/>
    </row>
    <row r="417" ht="15.75" customHeight="1">
      <c r="E417" s="9"/>
      <c r="G417" s="10"/>
      <c r="H417" s="11"/>
    </row>
    <row r="418" ht="15.75" customHeight="1">
      <c r="E418" s="9"/>
      <c r="G418" s="10"/>
      <c r="H418" s="11"/>
    </row>
    <row r="419" ht="15.75" customHeight="1">
      <c r="E419" s="9"/>
      <c r="G419" s="10"/>
      <c r="H419" s="11"/>
    </row>
    <row r="420" ht="15.75" customHeight="1">
      <c r="E420" s="9"/>
      <c r="G420" s="10"/>
      <c r="H420" s="11"/>
    </row>
    <row r="421" ht="15.75" customHeight="1">
      <c r="E421" s="9"/>
      <c r="G421" s="10"/>
      <c r="H421" s="11"/>
    </row>
    <row r="422" ht="15.75" customHeight="1">
      <c r="E422" s="9"/>
      <c r="G422" s="10"/>
      <c r="H422" s="11"/>
    </row>
    <row r="423" ht="15.75" customHeight="1">
      <c r="E423" s="9"/>
      <c r="G423" s="10"/>
      <c r="H423" s="11"/>
    </row>
    <row r="424" ht="15.75" customHeight="1">
      <c r="E424" s="9"/>
      <c r="G424" s="10"/>
      <c r="H424" s="11"/>
    </row>
    <row r="425" ht="15.75" customHeight="1">
      <c r="E425" s="9"/>
      <c r="G425" s="10"/>
      <c r="H425" s="11"/>
    </row>
    <row r="426" ht="15.75" customHeight="1">
      <c r="E426" s="9"/>
      <c r="G426" s="10"/>
      <c r="H426" s="11"/>
    </row>
    <row r="427" ht="15.75" customHeight="1">
      <c r="E427" s="9"/>
      <c r="G427" s="10"/>
      <c r="H427" s="11"/>
    </row>
    <row r="428" ht="15.75" customHeight="1">
      <c r="E428" s="9"/>
      <c r="G428" s="10"/>
      <c r="H428" s="11"/>
    </row>
    <row r="429" ht="15.75" customHeight="1">
      <c r="E429" s="9"/>
      <c r="G429" s="10"/>
      <c r="H429" s="11"/>
    </row>
    <row r="430" ht="15.75" customHeight="1">
      <c r="E430" s="9"/>
      <c r="G430" s="10"/>
      <c r="H430" s="11"/>
    </row>
    <row r="431" ht="15.75" customHeight="1">
      <c r="E431" s="9"/>
      <c r="G431" s="10"/>
      <c r="H431" s="11"/>
    </row>
    <row r="432" ht="15.75" customHeight="1">
      <c r="E432" s="9"/>
      <c r="G432" s="10"/>
      <c r="H432" s="11"/>
    </row>
    <row r="433" ht="15.75" customHeight="1">
      <c r="E433" s="9"/>
      <c r="G433" s="10"/>
      <c r="H433" s="11"/>
    </row>
    <row r="434" ht="15.75" customHeight="1">
      <c r="E434" s="9"/>
      <c r="G434" s="10"/>
      <c r="H434" s="11"/>
    </row>
    <row r="435" ht="15.75" customHeight="1">
      <c r="E435" s="9"/>
      <c r="G435" s="10"/>
      <c r="H435" s="11"/>
    </row>
    <row r="436" ht="15.75" customHeight="1">
      <c r="E436" s="9"/>
      <c r="G436" s="10"/>
      <c r="H436" s="11"/>
    </row>
    <row r="437" ht="15.75" customHeight="1">
      <c r="E437" s="9"/>
      <c r="G437" s="10"/>
      <c r="H437" s="11"/>
    </row>
    <row r="438" ht="15.75" customHeight="1">
      <c r="E438" s="9"/>
      <c r="G438" s="10"/>
      <c r="H438" s="11"/>
    </row>
    <row r="439" ht="15.75" customHeight="1">
      <c r="E439" s="9"/>
      <c r="G439" s="10"/>
      <c r="H439" s="11"/>
    </row>
    <row r="440" ht="15.75" customHeight="1">
      <c r="E440" s="9"/>
      <c r="G440" s="10"/>
      <c r="H440" s="11"/>
    </row>
    <row r="441" ht="15.75" customHeight="1">
      <c r="E441" s="9"/>
      <c r="G441" s="10"/>
      <c r="H441" s="11"/>
    </row>
    <row r="442" ht="15.75" customHeight="1">
      <c r="E442" s="9"/>
      <c r="G442" s="10"/>
      <c r="H442" s="11"/>
    </row>
    <row r="443" ht="15.75" customHeight="1">
      <c r="E443" s="9"/>
      <c r="G443" s="10"/>
      <c r="H443" s="11"/>
    </row>
    <row r="444" ht="15.75" customHeight="1">
      <c r="E444" s="9"/>
      <c r="G444" s="10"/>
      <c r="H444" s="11"/>
    </row>
    <row r="445" ht="15.75" customHeight="1">
      <c r="E445" s="9"/>
      <c r="G445" s="10"/>
      <c r="H445" s="11"/>
    </row>
    <row r="446" ht="15.75" customHeight="1">
      <c r="E446" s="9"/>
      <c r="G446" s="10"/>
      <c r="H446" s="11"/>
    </row>
    <row r="447" ht="15.75" customHeight="1">
      <c r="E447" s="9"/>
      <c r="G447" s="10"/>
      <c r="H447" s="11"/>
    </row>
    <row r="448" ht="15.75" customHeight="1">
      <c r="E448" s="9"/>
      <c r="G448" s="10"/>
      <c r="H448" s="11"/>
    </row>
    <row r="449" ht="15.75" customHeight="1">
      <c r="E449" s="9"/>
      <c r="G449" s="10"/>
      <c r="H449" s="11"/>
    </row>
    <row r="450" ht="15.75" customHeight="1">
      <c r="E450" s="9"/>
      <c r="G450" s="10"/>
      <c r="H450" s="11"/>
    </row>
    <row r="451" ht="15.75" customHeight="1">
      <c r="E451" s="9"/>
      <c r="G451" s="10"/>
      <c r="H451" s="11"/>
    </row>
    <row r="452" ht="15.75" customHeight="1">
      <c r="E452" s="9"/>
      <c r="G452" s="10"/>
      <c r="H452" s="11"/>
    </row>
    <row r="453" ht="15.75" customHeight="1">
      <c r="E453" s="9"/>
      <c r="G453" s="10"/>
      <c r="H453" s="11"/>
    </row>
    <row r="454" ht="15.75" customHeight="1">
      <c r="E454" s="9"/>
      <c r="G454" s="10"/>
      <c r="H454" s="11"/>
    </row>
    <row r="455" ht="15.75" customHeight="1">
      <c r="E455" s="9"/>
      <c r="G455" s="10"/>
      <c r="H455" s="11"/>
    </row>
    <row r="456" ht="15.75" customHeight="1">
      <c r="E456" s="9"/>
      <c r="G456" s="10"/>
      <c r="H456" s="11"/>
    </row>
    <row r="457" ht="15.75" customHeight="1">
      <c r="E457" s="9"/>
      <c r="G457" s="10"/>
      <c r="H457" s="11"/>
    </row>
    <row r="458" ht="15.75" customHeight="1">
      <c r="E458" s="9"/>
      <c r="G458" s="10"/>
      <c r="H458" s="11"/>
    </row>
    <row r="459" ht="15.75" customHeight="1">
      <c r="E459" s="9"/>
      <c r="G459" s="10"/>
      <c r="H459" s="11"/>
    </row>
    <row r="460" ht="15.75" customHeight="1">
      <c r="E460" s="9"/>
      <c r="G460" s="10"/>
      <c r="H460" s="11"/>
    </row>
    <row r="461" ht="15.75" customHeight="1">
      <c r="E461" s="9"/>
      <c r="G461" s="10"/>
      <c r="H461" s="11"/>
    </row>
    <row r="462" ht="15.75" customHeight="1">
      <c r="E462" s="9"/>
      <c r="G462" s="10"/>
      <c r="H462" s="11"/>
    </row>
    <row r="463" ht="15.75" customHeight="1">
      <c r="E463" s="9"/>
      <c r="G463" s="10"/>
      <c r="H463" s="11"/>
    </row>
    <row r="464" ht="15.75" customHeight="1">
      <c r="E464" s="9"/>
      <c r="G464" s="10"/>
      <c r="H464" s="11"/>
    </row>
    <row r="465" ht="15.75" customHeight="1">
      <c r="E465" s="9"/>
      <c r="G465" s="10"/>
      <c r="H465" s="11"/>
    </row>
    <row r="466" ht="15.75" customHeight="1">
      <c r="E466" s="9"/>
      <c r="G466" s="10"/>
      <c r="H466" s="11"/>
    </row>
    <row r="467" ht="15.75" customHeight="1">
      <c r="E467" s="9"/>
      <c r="G467" s="10"/>
      <c r="H467" s="11"/>
    </row>
    <row r="468" ht="15.75" customHeight="1">
      <c r="E468" s="9"/>
      <c r="G468" s="10"/>
      <c r="H468" s="11"/>
    </row>
    <row r="469" ht="15.75" customHeight="1">
      <c r="E469" s="9"/>
      <c r="G469" s="10"/>
      <c r="H469" s="11"/>
    </row>
    <row r="470" ht="15.75" customHeight="1">
      <c r="E470" s="9"/>
      <c r="G470" s="10"/>
      <c r="H470" s="11"/>
    </row>
    <row r="471" ht="15.75" customHeight="1">
      <c r="E471" s="9"/>
      <c r="G471" s="10"/>
      <c r="H471" s="11"/>
    </row>
    <row r="472" ht="15.75" customHeight="1">
      <c r="E472" s="9"/>
      <c r="G472" s="10"/>
      <c r="H472" s="11"/>
    </row>
    <row r="473" ht="15.75" customHeight="1">
      <c r="E473" s="9"/>
      <c r="G473" s="10"/>
      <c r="H473" s="11"/>
    </row>
    <row r="474" ht="15.75" customHeight="1">
      <c r="E474" s="9"/>
      <c r="G474" s="10"/>
      <c r="H474" s="11"/>
    </row>
    <row r="475" ht="15.75" customHeight="1">
      <c r="E475" s="9"/>
      <c r="G475" s="10"/>
      <c r="H475" s="11"/>
    </row>
    <row r="476" ht="15.75" customHeight="1">
      <c r="E476" s="9"/>
      <c r="G476" s="10"/>
      <c r="H476" s="11"/>
    </row>
    <row r="477" ht="15.75" customHeight="1">
      <c r="E477" s="9"/>
      <c r="G477" s="10"/>
      <c r="H477" s="11"/>
    </row>
    <row r="478" ht="15.75" customHeight="1">
      <c r="E478" s="9"/>
      <c r="G478" s="10"/>
      <c r="H478" s="11"/>
    </row>
    <row r="479" ht="15.75" customHeight="1">
      <c r="E479" s="9"/>
      <c r="G479" s="10"/>
      <c r="H479" s="11"/>
    </row>
    <row r="480" ht="15.75" customHeight="1">
      <c r="E480" s="9"/>
      <c r="G480" s="10"/>
      <c r="H480" s="11"/>
    </row>
    <row r="481" ht="15.75" customHeight="1">
      <c r="E481" s="9"/>
      <c r="G481" s="10"/>
      <c r="H481" s="11"/>
    </row>
    <row r="482" ht="15.75" customHeight="1">
      <c r="E482" s="9"/>
      <c r="G482" s="10"/>
      <c r="H482" s="11"/>
    </row>
    <row r="483" ht="15.75" customHeight="1">
      <c r="E483" s="9"/>
      <c r="G483" s="10"/>
      <c r="H483" s="11"/>
    </row>
    <row r="484" ht="15.75" customHeight="1">
      <c r="E484" s="9"/>
      <c r="G484" s="10"/>
      <c r="H484" s="11"/>
    </row>
    <row r="485" ht="15.75" customHeight="1">
      <c r="E485" s="9"/>
      <c r="G485" s="10"/>
      <c r="H485" s="11"/>
    </row>
    <row r="486" ht="15.75" customHeight="1">
      <c r="E486" s="9"/>
      <c r="G486" s="10"/>
      <c r="H486" s="11"/>
    </row>
    <row r="487" ht="15.75" customHeight="1">
      <c r="E487" s="9"/>
      <c r="G487" s="10"/>
      <c r="H487" s="11"/>
    </row>
    <row r="488" ht="15.75" customHeight="1">
      <c r="E488" s="9"/>
      <c r="G488" s="10"/>
      <c r="H488" s="11"/>
    </row>
    <row r="489" ht="15.75" customHeight="1">
      <c r="E489" s="9"/>
      <c r="G489" s="10"/>
      <c r="H489" s="11"/>
    </row>
    <row r="490" ht="15.75" customHeight="1">
      <c r="E490" s="9"/>
      <c r="G490" s="10"/>
      <c r="H490" s="11"/>
    </row>
    <row r="491" ht="15.75" customHeight="1">
      <c r="E491" s="9"/>
      <c r="G491" s="10"/>
      <c r="H491" s="11"/>
    </row>
    <row r="492" ht="15.75" customHeight="1">
      <c r="E492" s="9"/>
      <c r="G492" s="10"/>
      <c r="H492" s="11"/>
    </row>
    <row r="493" ht="15.75" customHeight="1">
      <c r="E493" s="9"/>
      <c r="G493" s="10"/>
      <c r="H493" s="11"/>
    </row>
    <row r="494" ht="15.75" customHeight="1">
      <c r="E494" s="9"/>
      <c r="G494" s="10"/>
      <c r="H494" s="11"/>
    </row>
    <row r="495" ht="15.75" customHeight="1">
      <c r="E495" s="9"/>
      <c r="G495" s="10"/>
      <c r="H495" s="11"/>
    </row>
    <row r="496" ht="15.75" customHeight="1">
      <c r="E496" s="9"/>
      <c r="G496" s="10"/>
      <c r="H496" s="11"/>
    </row>
    <row r="497" ht="15.75" customHeight="1">
      <c r="E497" s="9"/>
      <c r="G497" s="10"/>
      <c r="H497" s="11"/>
    </row>
    <row r="498" ht="15.75" customHeight="1">
      <c r="E498" s="9"/>
      <c r="G498" s="10"/>
      <c r="H498" s="11"/>
    </row>
    <row r="499" ht="15.75" customHeight="1">
      <c r="E499" s="9"/>
      <c r="G499" s="10"/>
      <c r="H499" s="11"/>
    </row>
    <row r="500" ht="15.75" customHeight="1">
      <c r="E500" s="9"/>
      <c r="G500" s="10"/>
      <c r="H500" s="11"/>
    </row>
    <row r="501" ht="15.75" customHeight="1">
      <c r="E501" s="9"/>
      <c r="G501" s="10"/>
      <c r="H501" s="11"/>
    </row>
    <row r="502" ht="15.75" customHeight="1">
      <c r="E502" s="9"/>
      <c r="G502" s="10"/>
      <c r="H502" s="11"/>
    </row>
    <row r="503" ht="15.75" customHeight="1">
      <c r="E503" s="9"/>
      <c r="G503" s="10"/>
      <c r="H503" s="11"/>
    </row>
    <row r="504" ht="15.75" customHeight="1">
      <c r="E504" s="9"/>
      <c r="G504" s="10"/>
      <c r="H504" s="11"/>
    </row>
    <row r="505" ht="15.75" customHeight="1">
      <c r="E505" s="9"/>
      <c r="G505" s="10"/>
      <c r="H505" s="11"/>
    </row>
    <row r="506" ht="15.75" customHeight="1">
      <c r="E506" s="9"/>
      <c r="G506" s="10"/>
      <c r="H506" s="11"/>
    </row>
    <row r="507" ht="15.75" customHeight="1">
      <c r="E507" s="9"/>
      <c r="G507" s="10"/>
      <c r="H507" s="11"/>
    </row>
    <row r="508" ht="15.75" customHeight="1">
      <c r="E508" s="9"/>
      <c r="G508" s="10"/>
      <c r="H508" s="11"/>
    </row>
    <row r="509" ht="15.75" customHeight="1">
      <c r="E509" s="9"/>
      <c r="G509" s="10"/>
      <c r="H509" s="11"/>
    </row>
    <row r="510" ht="15.75" customHeight="1">
      <c r="E510" s="9"/>
      <c r="G510" s="10"/>
      <c r="H510" s="11"/>
    </row>
    <row r="511" ht="15.75" customHeight="1">
      <c r="E511" s="9"/>
      <c r="G511" s="10"/>
      <c r="H511" s="11"/>
    </row>
    <row r="512" ht="15.75" customHeight="1">
      <c r="E512" s="9"/>
      <c r="G512" s="10"/>
      <c r="H512" s="11"/>
    </row>
    <row r="513" ht="15.75" customHeight="1">
      <c r="E513" s="9"/>
      <c r="G513" s="10"/>
      <c r="H513" s="11"/>
    </row>
    <row r="514" ht="15.75" customHeight="1">
      <c r="E514" s="9"/>
      <c r="G514" s="10"/>
      <c r="H514" s="11"/>
    </row>
    <row r="515" ht="15.75" customHeight="1">
      <c r="E515" s="9"/>
      <c r="G515" s="10"/>
      <c r="H515" s="11"/>
    </row>
    <row r="516" ht="15.75" customHeight="1">
      <c r="E516" s="9"/>
      <c r="G516" s="10"/>
      <c r="H516" s="11"/>
    </row>
    <row r="517" ht="15.75" customHeight="1">
      <c r="E517" s="9"/>
      <c r="G517" s="10"/>
      <c r="H517" s="11"/>
    </row>
    <row r="518" ht="15.75" customHeight="1">
      <c r="E518" s="9"/>
      <c r="G518" s="10"/>
      <c r="H518" s="11"/>
    </row>
    <row r="519" ht="15.75" customHeight="1">
      <c r="E519" s="9"/>
      <c r="G519" s="10"/>
      <c r="H519" s="11"/>
    </row>
    <row r="520" ht="15.75" customHeight="1">
      <c r="E520" s="9"/>
      <c r="G520" s="10"/>
      <c r="H520" s="11"/>
    </row>
    <row r="521" ht="15.75" customHeight="1">
      <c r="E521" s="9"/>
      <c r="G521" s="10"/>
      <c r="H521" s="11"/>
    </row>
    <row r="522" ht="15.75" customHeight="1">
      <c r="E522" s="9"/>
      <c r="G522" s="10"/>
      <c r="H522" s="11"/>
    </row>
    <row r="523" ht="15.75" customHeight="1">
      <c r="E523" s="9"/>
      <c r="G523" s="10"/>
      <c r="H523" s="11"/>
    </row>
    <row r="524" ht="15.75" customHeight="1">
      <c r="E524" s="9"/>
      <c r="G524" s="10"/>
      <c r="H524" s="11"/>
    </row>
    <row r="525" ht="15.75" customHeight="1">
      <c r="E525" s="9"/>
      <c r="G525" s="10"/>
      <c r="H525" s="11"/>
    </row>
    <row r="526" ht="15.75" customHeight="1">
      <c r="E526" s="9"/>
      <c r="G526" s="10"/>
      <c r="H526" s="11"/>
    </row>
    <row r="527" ht="15.75" customHeight="1">
      <c r="E527" s="9"/>
      <c r="G527" s="10"/>
      <c r="H527" s="11"/>
    </row>
    <row r="528" ht="15.75" customHeight="1">
      <c r="E528" s="9"/>
      <c r="G528" s="10"/>
      <c r="H528" s="11"/>
    </row>
    <row r="529" ht="15.75" customHeight="1">
      <c r="E529" s="9"/>
      <c r="G529" s="10"/>
      <c r="H529" s="11"/>
    </row>
    <row r="530" ht="15.75" customHeight="1">
      <c r="E530" s="9"/>
      <c r="G530" s="10"/>
      <c r="H530" s="11"/>
    </row>
    <row r="531" ht="15.75" customHeight="1">
      <c r="E531" s="9"/>
      <c r="G531" s="10"/>
      <c r="H531" s="11"/>
    </row>
    <row r="532" ht="15.75" customHeight="1">
      <c r="E532" s="9"/>
      <c r="G532" s="10"/>
      <c r="H532" s="11"/>
    </row>
    <row r="533" ht="15.75" customHeight="1">
      <c r="E533" s="9"/>
      <c r="G533" s="10"/>
      <c r="H533" s="11"/>
    </row>
    <row r="534" ht="15.75" customHeight="1">
      <c r="E534" s="9"/>
      <c r="G534" s="10"/>
      <c r="H534" s="11"/>
    </row>
    <row r="535" ht="15.75" customHeight="1">
      <c r="E535" s="9"/>
      <c r="G535" s="10"/>
      <c r="H535" s="11"/>
    </row>
    <row r="536" ht="15.75" customHeight="1">
      <c r="E536" s="9"/>
      <c r="G536" s="10"/>
      <c r="H536" s="11"/>
    </row>
    <row r="537" ht="15.75" customHeight="1">
      <c r="E537" s="9"/>
      <c r="G537" s="10"/>
      <c r="H537" s="11"/>
    </row>
    <row r="538" ht="15.75" customHeight="1">
      <c r="E538" s="9"/>
      <c r="G538" s="10"/>
      <c r="H538" s="11"/>
    </row>
    <row r="539" ht="15.75" customHeight="1">
      <c r="E539" s="9"/>
      <c r="G539" s="10"/>
      <c r="H539" s="11"/>
    </row>
    <row r="540" ht="15.75" customHeight="1">
      <c r="E540" s="9"/>
      <c r="G540" s="10"/>
      <c r="H540" s="11"/>
    </row>
    <row r="541" ht="15.75" customHeight="1">
      <c r="E541" s="9"/>
      <c r="G541" s="10"/>
      <c r="H541" s="11"/>
    </row>
    <row r="542" ht="15.75" customHeight="1">
      <c r="E542" s="9"/>
      <c r="G542" s="10"/>
      <c r="H542" s="11"/>
    </row>
    <row r="543" ht="15.75" customHeight="1">
      <c r="E543" s="9"/>
      <c r="G543" s="10"/>
      <c r="H543" s="11"/>
    </row>
    <row r="544" ht="15.75" customHeight="1">
      <c r="E544" s="9"/>
      <c r="G544" s="10"/>
      <c r="H544" s="11"/>
    </row>
    <row r="545" ht="15.75" customHeight="1">
      <c r="E545" s="9"/>
      <c r="G545" s="10"/>
      <c r="H545" s="11"/>
    </row>
    <row r="546" ht="15.75" customHeight="1">
      <c r="E546" s="9"/>
      <c r="G546" s="10"/>
      <c r="H546" s="11"/>
    </row>
    <row r="547" ht="15.75" customHeight="1">
      <c r="E547" s="9"/>
      <c r="G547" s="10"/>
      <c r="H547" s="11"/>
    </row>
    <row r="548" ht="15.75" customHeight="1">
      <c r="E548" s="9"/>
      <c r="G548" s="10"/>
      <c r="H548" s="11"/>
    </row>
    <row r="549" ht="15.75" customHeight="1">
      <c r="E549" s="9"/>
      <c r="G549" s="10"/>
      <c r="H549" s="11"/>
    </row>
    <row r="550" ht="15.75" customHeight="1">
      <c r="E550" s="9"/>
      <c r="G550" s="10"/>
      <c r="H550" s="11"/>
    </row>
    <row r="551" ht="15.75" customHeight="1">
      <c r="E551" s="9"/>
      <c r="G551" s="10"/>
      <c r="H551" s="11"/>
    </row>
    <row r="552" ht="15.75" customHeight="1">
      <c r="E552" s="9"/>
      <c r="G552" s="10"/>
      <c r="H552" s="11"/>
    </row>
    <row r="553" ht="15.75" customHeight="1">
      <c r="E553" s="9"/>
      <c r="G553" s="10"/>
      <c r="H553" s="11"/>
    </row>
    <row r="554" ht="15.75" customHeight="1">
      <c r="E554" s="9"/>
      <c r="G554" s="10"/>
      <c r="H554" s="11"/>
    </row>
    <row r="555" ht="15.75" customHeight="1">
      <c r="E555" s="9"/>
      <c r="G555" s="10"/>
      <c r="H555" s="11"/>
    </row>
    <row r="556" ht="15.75" customHeight="1">
      <c r="E556" s="9"/>
      <c r="G556" s="10"/>
      <c r="H556" s="11"/>
    </row>
    <row r="557" ht="15.75" customHeight="1">
      <c r="E557" s="9"/>
      <c r="G557" s="10"/>
      <c r="H557" s="11"/>
    </row>
    <row r="558" ht="15.75" customHeight="1">
      <c r="E558" s="9"/>
      <c r="G558" s="10"/>
      <c r="H558" s="11"/>
    </row>
    <row r="559" ht="15.75" customHeight="1">
      <c r="E559" s="9"/>
      <c r="G559" s="10"/>
      <c r="H559" s="11"/>
    </row>
    <row r="560" ht="15.75" customHeight="1">
      <c r="E560" s="9"/>
      <c r="G560" s="10"/>
      <c r="H560" s="11"/>
    </row>
    <row r="561" ht="15.75" customHeight="1">
      <c r="E561" s="9"/>
      <c r="G561" s="10"/>
      <c r="H561" s="11"/>
    </row>
    <row r="562" ht="15.75" customHeight="1">
      <c r="E562" s="9"/>
      <c r="G562" s="10"/>
      <c r="H562" s="11"/>
    </row>
    <row r="563" ht="15.75" customHeight="1">
      <c r="E563" s="9"/>
      <c r="G563" s="10"/>
      <c r="H563" s="11"/>
    </row>
    <row r="564" ht="15.75" customHeight="1">
      <c r="E564" s="9"/>
      <c r="G564" s="10"/>
      <c r="H564" s="11"/>
    </row>
    <row r="565" ht="15.75" customHeight="1">
      <c r="E565" s="9"/>
      <c r="G565" s="10"/>
      <c r="H565" s="11"/>
    </row>
    <row r="566" ht="15.75" customHeight="1">
      <c r="E566" s="9"/>
      <c r="G566" s="10"/>
      <c r="H566" s="11"/>
    </row>
    <row r="567" ht="15.75" customHeight="1">
      <c r="E567" s="9"/>
      <c r="G567" s="10"/>
      <c r="H567" s="11"/>
    </row>
    <row r="568" ht="15.75" customHeight="1">
      <c r="E568" s="9"/>
      <c r="G568" s="10"/>
      <c r="H568" s="11"/>
    </row>
    <row r="569" ht="15.75" customHeight="1">
      <c r="E569" s="9"/>
      <c r="G569" s="10"/>
      <c r="H569" s="11"/>
    </row>
    <row r="570" ht="15.75" customHeight="1">
      <c r="E570" s="9"/>
      <c r="G570" s="10"/>
      <c r="H570" s="11"/>
    </row>
    <row r="571" ht="15.75" customHeight="1">
      <c r="E571" s="9"/>
      <c r="G571" s="10"/>
      <c r="H571" s="11"/>
    </row>
    <row r="572" ht="15.75" customHeight="1">
      <c r="E572" s="9"/>
      <c r="G572" s="10"/>
      <c r="H572" s="11"/>
    </row>
    <row r="573" ht="15.75" customHeight="1">
      <c r="E573" s="9"/>
      <c r="G573" s="10"/>
      <c r="H573" s="11"/>
    </row>
    <row r="574" ht="15.75" customHeight="1">
      <c r="E574" s="9"/>
      <c r="G574" s="10"/>
      <c r="H574" s="11"/>
    </row>
    <row r="575" ht="15.75" customHeight="1">
      <c r="E575" s="9"/>
      <c r="G575" s="10"/>
      <c r="H575" s="11"/>
    </row>
    <row r="576" ht="15.75" customHeight="1">
      <c r="E576" s="9"/>
      <c r="G576" s="10"/>
      <c r="H576" s="11"/>
    </row>
    <row r="577" ht="15.75" customHeight="1">
      <c r="E577" s="9"/>
      <c r="G577" s="10"/>
      <c r="H577" s="11"/>
    </row>
    <row r="578" ht="15.75" customHeight="1">
      <c r="E578" s="9"/>
      <c r="G578" s="10"/>
      <c r="H578" s="11"/>
    </row>
    <row r="579" ht="15.75" customHeight="1">
      <c r="E579" s="9"/>
      <c r="G579" s="10"/>
      <c r="H579" s="11"/>
    </row>
    <row r="580" ht="15.75" customHeight="1">
      <c r="E580" s="9"/>
      <c r="G580" s="10"/>
      <c r="H580" s="11"/>
    </row>
    <row r="581" ht="15.75" customHeight="1">
      <c r="E581" s="9"/>
      <c r="G581" s="10"/>
      <c r="H581" s="11"/>
    </row>
    <row r="582" ht="15.75" customHeight="1">
      <c r="E582" s="9"/>
      <c r="G582" s="10"/>
      <c r="H582" s="11"/>
    </row>
    <row r="583" ht="15.75" customHeight="1">
      <c r="E583" s="9"/>
      <c r="G583" s="10"/>
      <c r="H583" s="11"/>
    </row>
    <row r="584" ht="15.75" customHeight="1">
      <c r="E584" s="9"/>
      <c r="G584" s="10"/>
      <c r="H584" s="11"/>
    </row>
    <row r="585" ht="15.75" customHeight="1">
      <c r="E585" s="9"/>
      <c r="G585" s="10"/>
      <c r="H585" s="11"/>
    </row>
    <row r="586" ht="15.75" customHeight="1">
      <c r="E586" s="9"/>
      <c r="G586" s="10"/>
      <c r="H586" s="11"/>
    </row>
    <row r="587" ht="15.75" customHeight="1">
      <c r="E587" s="9"/>
      <c r="G587" s="10"/>
      <c r="H587" s="11"/>
    </row>
    <row r="588" ht="15.75" customHeight="1">
      <c r="E588" s="9"/>
      <c r="G588" s="10"/>
      <c r="H588" s="11"/>
    </row>
    <row r="589" ht="15.75" customHeight="1">
      <c r="E589" s="9"/>
      <c r="G589" s="10"/>
      <c r="H589" s="11"/>
    </row>
    <row r="590" ht="15.75" customHeight="1">
      <c r="E590" s="9"/>
      <c r="G590" s="10"/>
      <c r="H590" s="11"/>
    </row>
    <row r="591" ht="15.75" customHeight="1">
      <c r="E591" s="9"/>
      <c r="G591" s="10"/>
      <c r="H591" s="11"/>
    </row>
    <row r="592" ht="15.75" customHeight="1">
      <c r="E592" s="9"/>
      <c r="G592" s="10"/>
      <c r="H592" s="11"/>
    </row>
    <row r="593" ht="15.75" customHeight="1">
      <c r="E593" s="9"/>
      <c r="G593" s="10"/>
      <c r="H593" s="11"/>
    </row>
    <row r="594" ht="15.75" customHeight="1">
      <c r="E594" s="9"/>
      <c r="G594" s="10"/>
      <c r="H594" s="11"/>
    </row>
    <row r="595" ht="15.75" customHeight="1">
      <c r="E595" s="9"/>
      <c r="G595" s="10"/>
      <c r="H595" s="11"/>
    </row>
    <row r="596" ht="15.75" customHeight="1">
      <c r="E596" s="9"/>
      <c r="G596" s="10"/>
      <c r="H596" s="11"/>
    </row>
    <row r="597" ht="15.75" customHeight="1">
      <c r="E597" s="9"/>
      <c r="G597" s="10"/>
      <c r="H597" s="11"/>
    </row>
    <row r="598" ht="15.75" customHeight="1">
      <c r="E598" s="9"/>
      <c r="G598" s="10"/>
      <c r="H598" s="11"/>
    </row>
    <row r="599" ht="15.75" customHeight="1">
      <c r="E599" s="9"/>
      <c r="G599" s="10"/>
      <c r="H599" s="11"/>
    </row>
    <row r="600" ht="15.75" customHeight="1">
      <c r="E600" s="9"/>
      <c r="G600" s="10"/>
      <c r="H600" s="11"/>
    </row>
    <row r="601" ht="15.75" customHeight="1">
      <c r="E601" s="9"/>
      <c r="G601" s="10"/>
      <c r="H601" s="11"/>
    </row>
    <row r="602" ht="15.75" customHeight="1">
      <c r="E602" s="9"/>
      <c r="G602" s="10"/>
      <c r="H602" s="11"/>
    </row>
    <row r="603" ht="15.75" customHeight="1">
      <c r="E603" s="9"/>
      <c r="G603" s="10"/>
      <c r="H603" s="11"/>
    </row>
    <row r="604" ht="15.75" customHeight="1">
      <c r="E604" s="9"/>
      <c r="G604" s="10"/>
      <c r="H604" s="11"/>
    </row>
    <row r="605" ht="15.75" customHeight="1">
      <c r="E605" s="9"/>
      <c r="G605" s="10"/>
      <c r="H605" s="11"/>
    </row>
    <row r="606" ht="15.75" customHeight="1">
      <c r="E606" s="9"/>
      <c r="G606" s="10"/>
      <c r="H606" s="11"/>
    </row>
    <row r="607" ht="15.75" customHeight="1">
      <c r="E607" s="9"/>
      <c r="G607" s="10"/>
      <c r="H607" s="11"/>
    </row>
    <row r="608" ht="15.75" customHeight="1">
      <c r="E608" s="9"/>
      <c r="G608" s="10"/>
      <c r="H608" s="11"/>
    </row>
    <row r="609" ht="15.75" customHeight="1">
      <c r="E609" s="9"/>
      <c r="G609" s="10"/>
      <c r="H609" s="11"/>
    </row>
    <row r="610" ht="15.75" customHeight="1">
      <c r="E610" s="9"/>
      <c r="G610" s="10"/>
      <c r="H610" s="11"/>
    </row>
    <row r="611" ht="15.75" customHeight="1">
      <c r="E611" s="9"/>
      <c r="G611" s="10"/>
      <c r="H611" s="11"/>
    </row>
    <row r="612" ht="15.75" customHeight="1">
      <c r="E612" s="9"/>
      <c r="G612" s="10"/>
      <c r="H612" s="11"/>
    </row>
    <row r="613" ht="15.75" customHeight="1">
      <c r="E613" s="9"/>
      <c r="G613" s="10"/>
      <c r="H613" s="11"/>
    </row>
    <row r="614" ht="15.75" customHeight="1">
      <c r="E614" s="9"/>
      <c r="G614" s="10"/>
      <c r="H614" s="11"/>
    </row>
    <row r="615" ht="15.75" customHeight="1">
      <c r="E615" s="9"/>
      <c r="G615" s="10"/>
      <c r="H615" s="11"/>
    </row>
    <row r="616" ht="15.75" customHeight="1">
      <c r="E616" s="9"/>
      <c r="G616" s="10"/>
      <c r="H616" s="11"/>
    </row>
    <row r="617" ht="15.75" customHeight="1">
      <c r="E617" s="9"/>
      <c r="G617" s="10"/>
      <c r="H617" s="11"/>
    </row>
    <row r="618" ht="15.75" customHeight="1">
      <c r="E618" s="9"/>
      <c r="G618" s="10"/>
      <c r="H618" s="11"/>
    </row>
    <row r="619" ht="15.75" customHeight="1">
      <c r="E619" s="9"/>
      <c r="G619" s="10"/>
      <c r="H619" s="11"/>
    </row>
    <row r="620" ht="15.75" customHeight="1">
      <c r="E620" s="9"/>
      <c r="G620" s="10"/>
      <c r="H620" s="11"/>
    </row>
    <row r="621" ht="15.75" customHeight="1">
      <c r="E621" s="9"/>
      <c r="G621" s="10"/>
      <c r="H621" s="11"/>
    </row>
    <row r="622" ht="15.75" customHeight="1">
      <c r="E622" s="9"/>
      <c r="G622" s="10"/>
      <c r="H622" s="11"/>
    </row>
    <row r="623" ht="15.75" customHeight="1">
      <c r="E623" s="9"/>
      <c r="G623" s="10"/>
      <c r="H623" s="11"/>
    </row>
    <row r="624" ht="15.75" customHeight="1">
      <c r="E624" s="9"/>
      <c r="G624" s="10"/>
      <c r="H624" s="11"/>
    </row>
    <row r="625" ht="15.75" customHeight="1">
      <c r="E625" s="9"/>
      <c r="G625" s="10"/>
      <c r="H625" s="11"/>
    </row>
    <row r="626" ht="15.75" customHeight="1">
      <c r="E626" s="9"/>
      <c r="G626" s="10"/>
      <c r="H626" s="11"/>
    </row>
    <row r="627" ht="15.75" customHeight="1">
      <c r="E627" s="9"/>
      <c r="G627" s="10"/>
      <c r="H627" s="11"/>
    </row>
    <row r="628" ht="15.75" customHeight="1">
      <c r="E628" s="9"/>
      <c r="G628" s="10"/>
      <c r="H628" s="11"/>
    </row>
    <row r="629" ht="15.75" customHeight="1">
      <c r="E629" s="9"/>
      <c r="G629" s="10"/>
      <c r="H629" s="11"/>
    </row>
    <row r="630" ht="15.75" customHeight="1">
      <c r="E630" s="9"/>
      <c r="G630" s="10"/>
      <c r="H630" s="11"/>
    </row>
    <row r="631" ht="15.75" customHeight="1">
      <c r="E631" s="9"/>
      <c r="G631" s="10"/>
      <c r="H631" s="11"/>
    </row>
    <row r="632" ht="15.75" customHeight="1">
      <c r="E632" s="9"/>
      <c r="G632" s="10"/>
      <c r="H632" s="11"/>
    </row>
    <row r="633" ht="15.75" customHeight="1">
      <c r="E633" s="9"/>
      <c r="G633" s="10"/>
      <c r="H633" s="11"/>
    </row>
    <row r="634" ht="15.75" customHeight="1">
      <c r="E634" s="9"/>
      <c r="G634" s="10"/>
      <c r="H634" s="11"/>
    </row>
    <row r="635" ht="15.75" customHeight="1">
      <c r="E635" s="9"/>
      <c r="G635" s="10"/>
      <c r="H635" s="11"/>
    </row>
    <row r="636" ht="15.75" customHeight="1">
      <c r="E636" s="9"/>
      <c r="G636" s="10"/>
      <c r="H636" s="11"/>
    </row>
    <row r="637" ht="15.75" customHeight="1">
      <c r="E637" s="9"/>
      <c r="G637" s="10"/>
      <c r="H637" s="11"/>
    </row>
    <row r="638" ht="15.75" customHeight="1">
      <c r="E638" s="9"/>
      <c r="G638" s="10"/>
      <c r="H638" s="11"/>
    </row>
    <row r="639" ht="15.75" customHeight="1">
      <c r="E639" s="9"/>
      <c r="G639" s="10"/>
      <c r="H639" s="11"/>
    </row>
    <row r="640" ht="15.75" customHeight="1">
      <c r="E640" s="9"/>
      <c r="G640" s="10"/>
      <c r="H640" s="11"/>
    </row>
    <row r="641" ht="15.75" customHeight="1">
      <c r="E641" s="9"/>
      <c r="G641" s="10"/>
      <c r="H641" s="11"/>
    </row>
    <row r="642" ht="15.75" customHeight="1">
      <c r="E642" s="9"/>
      <c r="G642" s="10"/>
      <c r="H642" s="11"/>
    </row>
    <row r="643" ht="15.75" customHeight="1">
      <c r="E643" s="9"/>
      <c r="G643" s="10"/>
      <c r="H643" s="11"/>
    </row>
    <row r="644" ht="15.75" customHeight="1">
      <c r="E644" s="9"/>
      <c r="G644" s="10"/>
      <c r="H644" s="11"/>
    </row>
    <row r="645" ht="15.75" customHeight="1">
      <c r="E645" s="9"/>
      <c r="G645" s="10"/>
      <c r="H645" s="11"/>
    </row>
    <row r="646" ht="15.75" customHeight="1">
      <c r="E646" s="9"/>
      <c r="G646" s="10"/>
      <c r="H646" s="11"/>
    </row>
    <row r="647" ht="15.75" customHeight="1">
      <c r="E647" s="9"/>
      <c r="G647" s="10"/>
      <c r="H647" s="11"/>
    </row>
    <row r="648" ht="15.75" customHeight="1">
      <c r="E648" s="9"/>
      <c r="G648" s="10"/>
      <c r="H648" s="11"/>
    </row>
    <row r="649" ht="15.75" customHeight="1">
      <c r="E649" s="9"/>
      <c r="G649" s="10"/>
      <c r="H649" s="11"/>
    </row>
    <row r="650" ht="15.75" customHeight="1">
      <c r="E650" s="9"/>
      <c r="G650" s="10"/>
      <c r="H650" s="11"/>
    </row>
    <row r="651" ht="15.75" customHeight="1">
      <c r="E651" s="9"/>
      <c r="G651" s="10"/>
      <c r="H651" s="11"/>
    </row>
    <row r="652" ht="15.75" customHeight="1">
      <c r="E652" s="9"/>
      <c r="G652" s="10"/>
      <c r="H652" s="11"/>
    </row>
    <row r="653" ht="15.75" customHeight="1">
      <c r="E653" s="9"/>
      <c r="G653" s="10"/>
      <c r="H653" s="11"/>
    </row>
    <row r="654" ht="15.75" customHeight="1">
      <c r="E654" s="9"/>
      <c r="G654" s="10"/>
      <c r="H654" s="11"/>
    </row>
    <row r="655" ht="15.75" customHeight="1">
      <c r="E655" s="9"/>
      <c r="G655" s="10"/>
      <c r="H655" s="11"/>
    </row>
    <row r="656" ht="15.75" customHeight="1">
      <c r="E656" s="9"/>
      <c r="G656" s="10"/>
      <c r="H656" s="11"/>
    </row>
    <row r="657" ht="15.75" customHeight="1">
      <c r="E657" s="9"/>
      <c r="G657" s="10"/>
      <c r="H657" s="11"/>
    </row>
    <row r="658" ht="15.75" customHeight="1">
      <c r="E658" s="9"/>
      <c r="G658" s="10"/>
      <c r="H658" s="11"/>
    </row>
    <row r="659" ht="15.75" customHeight="1">
      <c r="E659" s="9"/>
      <c r="G659" s="10"/>
      <c r="H659" s="11"/>
    </row>
    <row r="660" ht="15.75" customHeight="1">
      <c r="E660" s="9"/>
      <c r="G660" s="10"/>
      <c r="H660" s="11"/>
    </row>
    <row r="661" ht="15.75" customHeight="1">
      <c r="E661" s="9"/>
      <c r="G661" s="10"/>
      <c r="H661" s="11"/>
    </row>
    <row r="662" ht="15.75" customHeight="1">
      <c r="E662" s="9"/>
      <c r="G662" s="10"/>
      <c r="H662" s="11"/>
    </row>
    <row r="663" ht="15.75" customHeight="1">
      <c r="E663" s="9"/>
      <c r="G663" s="10"/>
      <c r="H663" s="11"/>
    </row>
    <row r="664" ht="15.75" customHeight="1">
      <c r="E664" s="9"/>
      <c r="G664" s="10"/>
      <c r="H664" s="11"/>
    </row>
    <row r="665" ht="15.75" customHeight="1">
      <c r="E665" s="9"/>
      <c r="G665" s="10"/>
      <c r="H665" s="11"/>
    </row>
    <row r="666" ht="15.75" customHeight="1">
      <c r="E666" s="9"/>
      <c r="G666" s="10"/>
      <c r="H666" s="11"/>
    </row>
    <row r="667" ht="15.75" customHeight="1">
      <c r="E667" s="9"/>
      <c r="G667" s="10"/>
      <c r="H667" s="11"/>
    </row>
    <row r="668" ht="15.75" customHeight="1">
      <c r="E668" s="9"/>
      <c r="G668" s="10"/>
      <c r="H668" s="11"/>
    </row>
    <row r="669" ht="15.75" customHeight="1">
      <c r="E669" s="9"/>
      <c r="G669" s="10"/>
      <c r="H669" s="11"/>
    </row>
    <row r="670" ht="15.75" customHeight="1">
      <c r="E670" s="9"/>
      <c r="G670" s="10"/>
      <c r="H670" s="11"/>
    </row>
    <row r="671" ht="15.75" customHeight="1">
      <c r="E671" s="9"/>
      <c r="G671" s="10"/>
      <c r="H671" s="11"/>
    </row>
    <row r="672" ht="15.75" customHeight="1">
      <c r="E672" s="9"/>
      <c r="G672" s="10"/>
      <c r="H672" s="11"/>
    </row>
    <row r="673" ht="15.75" customHeight="1">
      <c r="E673" s="9"/>
      <c r="G673" s="10"/>
      <c r="H673" s="11"/>
    </row>
    <row r="674" ht="15.75" customHeight="1">
      <c r="E674" s="9"/>
      <c r="G674" s="10"/>
      <c r="H674" s="11"/>
    </row>
    <row r="675" ht="15.75" customHeight="1">
      <c r="E675" s="9"/>
      <c r="G675" s="10"/>
      <c r="H675" s="11"/>
    </row>
    <row r="676" ht="15.75" customHeight="1">
      <c r="E676" s="9"/>
      <c r="G676" s="10"/>
      <c r="H676" s="11"/>
    </row>
    <row r="677" ht="15.75" customHeight="1">
      <c r="E677" s="9"/>
      <c r="G677" s="10"/>
      <c r="H677" s="11"/>
    </row>
    <row r="678" ht="15.75" customHeight="1">
      <c r="E678" s="9"/>
      <c r="G678" s="10"/>
      <c r="H678" s="11"/>
    </row>
    <row r="679" ht="15.75" customHeight="1">
      <c r="E679" s="9"/>
      <c r="G679" s="10"/>
      <c r="H679" s="11"/>
    </row>
    <row r="680" ht="15.75" customHeight="1">
      <c r="E680" s="9"/>
      <c r="G680" s="10"/>
      <c r="H680" s="11"/>
    </row>
    <row r="681" ht="15.75" customHeight="1">
      <c r="E681" s="9"/>
      <c r="G681" s="10"/>
      <c r="H681" s="11"/>
    </row>
    <row r="682" ht="15.75" customHeight="1">
      <c r="E682" s="9"/>
      <c r="G682" s="10"/>
      <c r="H682" s="11"/>
    </row>
    <row r="683" ht="15.75" customHeight="1">
      <c r="E683" s="9"/>
      <c r="G683" s="10"/>
      <c r="H683" s="11"/>
    </row>
    <row r="684" ht="15.75" customHeight="1">
      <c r="E684" s="9"/>
      <c r="G684" s="10"/>
      <c r="H684" s="11"/>
    </row>
    <row r="685" ht="15.75" customHeight="1">
      <c r="E685" s="9"/>
      <c r="G685" s="10"/>
      <c r="H685" s="11"/>
    </row>
    <row r="686" ht="15.75" customHeight="1">
      <c r="E686" s="9"/>
      <c r="G686" s="10"/>
      <c r="H686" s="11"/>
    </row>
    <row r="687" ht="15.75" customHeight="1">
      <c r="E687" s="9"/>
      <c r="G687" s="10"/>
      <c r="H687" s="11"/>
    </row>
    <row r="688" ht="15.75" customHeight="1">
      <c r="E688" s="9"/>
      <c r="G688" s="10"/>
      <c r="H688" s="11"/>
    </row>
    <row r="689" ht="15.75" customHeight="1">
      <c r="E689" s="9"/>
      <c r="G689" s="10"/>
      <c r="H689" s="11"/>
    </row>
    <row r="690" ht="15.75" customHeight="1">
      <c r="E690" s="9"/>
      <c r="G690" s="10"/>
      <c r="H690" s="11"/>
    </row>
    <row r="691" ht="15.75" customHeight="1">
      <c r="E691" s="9"/>
      <c r="G691" s="10"/>
      <c r="H691" s="11"/>
    </row>
    <row r="692" ht="15.75" customHeight="1">
      <c r="E692" s="9"/>
      <c r="G692" s="10"/>
      <c r="H692" s="11"/>
    </row>
    <row r="693" ht="15.75" customHeight="1">
      <c r="E693" s="9"/>
      <c r="G693" s="10"/>
      <c r="H693" s="11"/>
    </row>
    <row r="694" ht="15.75" customHeight="1">
      <c r="E694" s="9"/>
      <c r="G694" s="10"/>
      <c r="H694" s="11"/>
    </row>
    <row r="695" ht="15.75" customHeight="1">
      <c r="E695" s="9"/>
      <c r="G695" s="10"/>
      <c r="H695" s="11"/>
    </row>
    <row r="696" ht="15.75" customHeight="1">
      <c r="E696" s="9"/>
      <c r="G696" s="10"/>
      <c r="H696" s="11"/>
    </row>
    <row r="697" ht="15.75" customHeight="1">
      <c r="E697" s="9"/>
      <c r="G697" s="10"/>
      <c r="H697" s="11"/>
    </row>
    <row r="698" ht="15.75" customHeight="1">
      <c r="E698" s="9"/>
      <c r="G698" s="10"/>
      <c r="H698" s="11"/>
    </row>
    <row r="699" ht="15.75" customHeight="1">
      <c r="E699" s="9"/>
      <c r="G699" s="10"/>
      <c r="H699" s="11"/>
    </row>
    <row r="700" ht="15.75" customHeight="1">
      <c r="E700" s="9"/>
      <c r="G700" s="10"/>
      <c r="H700" s="11"/>
    </row>
    <row r="701" ht="15.75" customHeight="1">
      <c r="E701" s="9"/>
      <c r="G701" s="10"/>
      <c r="H701" s="11"/>
    </row>
    <row r="702" ht="15.75" customHeight="1">
      <c r="E702" s="9"/>
      <c r="G702" s="10"/>
      <c r="H702" s="11"/>
    </row>
    <row r="703" ht="15.75" customHeight="1">
      <c r="E703" s="9"/>
      <c r="G703" s="10"/>
      <c r="H703" s="11"/>
    </row>
    <row r="704" ht="15.75" customHeight="1">
      <c r="E704" s="9"/>
      <c r="G704" s="10"/>
      <c r="H704" s="11"/>
    </row>
    <row r="705" ht="15.75" customHeight="1">
      <c r="E705" s="9"/>
      <c r="G705" s="10"/>
      <c r="H705" s="11"/>
    </row>
    <row r="706" ht="15.75" customHeight="1">
      <c r="E706" s="9"/>
      <c r="G706" s="10"/>
      <c r="H706" s="11"/>
    </row>
    <row r="707" ht="15.75" customHeight="1">
      <c r="E707" s="9"/>
      <c r="G707" s="10"/>
      <c r="H707" s="11"/>
    </row>
    <row r="708" ht="15.75" customHeight="1">
      <c r="E708" s="9"/>
      <c r="G708" s="10"/>
      <c r="H708" s="11"/>
    </row>
    <row r="709" ht="15.75" customHeight="1">
      <c r="E709" s="9"/>
      <c r="G709" s="10"/>
      <c r="H709" s="11"/>
    </row>
    <row r="710" ht="15.75" customHeight="1">
      <c r="E710" s="9"/>
      <c r="G710" s="10"/>
      <c r="H710" s="11"/>
    </row>
    <row r="711" ht="15.75" customHeight="1">
      <c r="E711" s="9"/>
      <c r="G711" s="10"/>
      <c r="H711" s="11"/>
    </row>
    <row r="712" ht="15.75" customHeight="1">
      <c r="E712" s="9"/>
      <c r="G712" s="10"/>
      <c r="H712" s="11"/>
    </row>
    <row r="713" ht="15.75" customHeight="1">
      <c r="E713" s="9"/>
      <c r="G713" s="10"/>
      <c r="H713" s="11"/>
    </row>
    <row r="714" ht="15.75" customHeight="1">
      <c r="E714" s="9"/>
      <c r="G714" s="10"/>
      <c r="H714" s="11"/>
    </row>
    <row r="715" ht="15.75" customHeight="1">
      <c r="E715" s="9"/>
      <c r="G715" s="10"/>
      <c r="H715" s="11"/>
    </row>
    <row r="716" ht="15.75" customHeight="1">
      <c r="E716" s="9"/>
      <c r="G716" s="10"/>
      <c r="H716" s="11"/>
    </row>
    <row r="717" ht="15.75" customHeight="1">
      <c r="E717" s="9"/>
      <c r="G717" s="10"/>
      <c r="H717" s="11"/>
    </row>
    <row r="718" ht="15.75" customHeight="1">
      <c r="E718" s="9"/>
      <c r="G718" s="10"/>
      <c r="H718" s="11"/>
    </row>
    <row r="719" ht="15.75" customHeight="1">
      <c r="E719" s="9"/>
      <c r="G719" s="10"/>
      <c r="H719" s="11"/>
    </row>
    <row r="720" ht="15.75" customHeight="1">
      <c r="E720" s="9"/>
      <c r="G720" s="10"/>
      <c r="H720" s="11"/>
    </row>
    <row r="721" ht="15.75" customHeight="1">
      <c r="E721" s="9"/>
      <c r="G721" s="10"/>
      <c r="H721" s="11"/>
    </row>
    <row r="722" ht="15.75" customHeight="1">
      <c r="E722" s="9"/>
      <c r="G722" s="10"/>
      <c r="H722" s="11"/>
    </row>
    <row r="723" ht="15.75" customHeight="1">
      <c r="E723" s="9"/>
      <c r="G723" s="10"/>
      <c r="H723" s="11"/>
    </row>
    <row r="724" ht="15.75" customHeight="1">
      <c r="E724" s="9"/>
      <c r="G724" s="10"/>
      <c r="H724" s="11"/>
    </row>
    <row r="725" ht="15.75" customHeight="1">
      <c r="E725" s="9"/>
      <c r="G725" s="10"/>
      <c r="H725" s="11"/>
    </row>
    <row r="726" ht="15.75" customHeight="1">
      <c r="E726" s="9"/>
      <c r="G726" s="10"/>
      <c r="H726" s="11"/>
    </row>
    <row r="727" ht="15.75" customHeight="1">
      <c r="E727" s="9"/>
      <c r="G727" s="10"/>
      <c r="H727" s="11"/>
    </row>
    <row r="728" ht="15.75" customHeight="1">
      <c r="E728" s="9"/>
      <c r="G728" s="10"/>
      <c r="H728" s="11"/>
    </row>
    <row r="729" ht="15.75" customHeight="1">
      <c r="E729" s="9"/>
      <c r="G729" s="10"/>
      <c r="H729" s="11"/>
    </row>
    <row r="730" ht="15.75" customHeight="1">
      <c r="E730" s="9"/>
      <c r="G730" s="10"/>
      <c r="H730" s="11"/>
    </row>
    <row r="731" ht="15.75" customHeight="1">
      <c r="E731" s="9"/>
      <c r="G731" s="10"/>
      <c r="H731" s="11"/>
    </row>
    <row r="732" ht="15.75" customHeight="1">
      <c r="E732" s="9"/>
      <c r="G732" s="10"/>
      <c r="H732" s="11"/>
    </row>
    <row r="733" ht="15.75" customHeight="1">
      <c r="E733" s="9"/>
      <c r="G733" s="10"/>
      <c r="H733" s="11"/>
    </row>
    <row r="734" ht="15.75" customHeight="1">
      <c r="E734" s="9"/>
      <c r="G734" s="10"/>
      <c r="H734" s="11"/>
    </row>
    <row r="735" ht="15.75" customHeight="1">
      <c r="E735" s="9"/>
      <c r="G735" s="10"/>
      <c r="H735" s="11"/>
    </row>
    <row r="736" ht="15.75" customHeight="1">
      <c r="E736" s="9"/>
      <c r="G736" s="10"/>
      <c r="H736" s="11"/>
    </row>
    <row r="737" ht="15.75" customHeight="1">
      <c r="E737" s="9"/>
      <c r="G737" s="10"/>
      <c r="H737" s="11"/>
    </row>
    <row r="738" ht="15.75" customHeight="1">
      <c r="E738" s="9"/>
      <c r="G738" s="10"/>
      <c r="H738" s="11"/>
    </row>
    <row r="739" ht="15.75" customHeight="1">
      <c r="E739" s="9"/>
      <c r="G739" s="10"/>
      <c r="H739" s="11"/>
    </row>
    <row r="740" ht="15.75" customHeight="1">
      <c r="E740" s="9"/>
      <c r="G740" s="10"/>
      <c r="H740" s="11"/>
    </row>
    <row r="741" ht="15.75" customHeight="1">
      <c r="E741" s="9"/>
      <c r="G741" s="10"/>
      <c r="H741" s="11"/>
    </row>
    <row r="742" ht="15.75" customHeight="1">
      <c r="E742" s="9"/>
      <c r="G742" s="10"/>
      <c r="H742" s="11"/>
    </row>
    <row r="743" ht="15.75" customHeight="1">
      <c r="E743" s="9"/>
      <c r="G743" s="10"/>
      <c r="H743" s="11"/>
    </row>
    <row r="744" ht="15.75" customHeight="1">
      <c r="E744" s="9"/>
      <c r="G744" s="10"/>
      <c r="H744" s="11"/>
    </row>
    <row r="745" ht="15.75" customHeight="1">
      <c r="E745" s="9"/>
      <c r="G745" s="10"/>
      <c r="H745" s="11"/>
    </row>
    <row r="746" ht="15.75" customHeight="1">
      <c r="E746" s="9"/>
      <c r="G746" s="10"/>
      <c r="H746" s="11"/>
    </row>
    <row r="747" ht="15.75" customHeight="1">
      <c r="E747" s="9"/>
      <c r="G747" s="10"/>
      <c r="H747" s="11"/>
    </row>
    <row r="748" ht="15.75" customHeight="1">
      <c r="E748" s="9"/>
      <c r="G748" s="10"/>
      <c r="H748" s="11"/>
    </row>
    <row r="749" ht="15.75" customHeight="1">
      <c r="E749" s="9"/>
      <c r="G749" s="10"/>
      <c r="H749" s="11"/>
    </row>
    <row r="750" ht="15.75" customHeight="1">
      <c r="E750" s="9"/>
      <c r="G750" s="10"/>
      <c r="H750" s="11"/>
    </row>
    <row r="751" ht="15.75" customHeight="1">
      <c r="E751" s="9"/>
      <c r="G751" s="10"/>
      <c r="H751" s="11"/>
    </row>
    <row r="752" ht="15.75" customHeight="1">
      <c r="E752" s="9"/>
      <c r="G752" s="10"/>
      <c r="H752" s="11"/>
    </row>
    <row r="753" ht="15.75" customHeight="1">
      <c r="E753" s="9"/>
      <c r="G753" s="10"/>
      <c r="H753" s="11"/>
    </row>
    <row r="754" ht="15.75" customHeight="1">
      <c r="E754" s="9"/>
      <c r="G754" s="10"/>
      <c r="H754" s="11"/>
    </row>
    <row r="755" ht="15.75" customHeight="1">
      <c r="E755" s="9"/>
      <c r="G755" s="10"/>
      <c r="H755" s="11"/>
    </row>
    <row r="756" ht="15.75" customHeight="1">
      <c r="E756" s="9"/>
      <c r="G756" s="10"/>
      <c r="H756" s="11"/>
    </row>
    <row r="757" ht="15.75" customHeight="1">
      <c r="E757" s="9"/>
      <c r="G757" s="10"/>
      <c r="H757" s="11"/>
    </row>
    <row r="758" ht="15.75" customHeight="1">
      <c r="E758" s="9"/>
      <c r="G758" s="10"/>
      <c r="H758" s="11"/>
    </row>
    <row r="759" ht="15.75" customHeight="1">
      <c r="E759" s="9"/>
      <c r="G759" s="10"/>
      <c r="H759" s="11"/>
    </row>
    <row r="760" ht="15.75" customHeight="1">
      <c r="E760" s="9"/>
      <c r="G760" s="10"/>
      <c r="H760" s="11"/>
    </row>
    <row r="761" ht="15.75" customHeight="1">
      <c r="E761" s="9"/>
      <c r="G761" s="10"/>
      <c r="H761" s="11"/>
    </row>
    <row r="762" ht="15.75" customHeight="1">
      <c r="E762" s="9"/>
      <c r="G762" s="10"/>
      <c r="H762" s="11"/>
    </row>
    <row r="763" ht="15.75" customHeight="1">
      <c r="E763" s="9"/>
      <c r="G763" s="10"/>
      <c r="H763" s="11"/>
    </row>
    <row r="764" ht="15.75" customHeight="1">
      <c r="E764" s="9"/>
      <c r="G764" s="10"/>
      <c r="H764" s="11"/>
    </row>
    <row r="765" ht="15.75" customHeight="1">
      <c r="E765" s="9"/>
      <c r="G765" s="10"/>
      <c r="H765" s="11"/>
    </row>
    <row r="766" ht="15.75" customHeight="1">
      <c r="E766" s="9"/>
      <c r="G766" s="10"/>
      <c r="H766" s="11"/>
    </row>
    <row r="767" ht="15.75" customHeight="1">
      <c r="E767" s="9"/>
      <c r="G767" s="10"/>
      <c r="H767" s="11"/>
    </row>
    <row r="768" ht="15.75" customHeight="1">
      <c r="E768" s="9"/>
      <c r="G768" s="10"/>
      <c r="H768" s="11"/>
    </row>
    <row r="769" ht="15.75" customHeight="1">
      <c r="E769" s="9"/>
      <c r="G769" s="10"/>
      <c r="H769" s="11"/>
    </row>
    <row r="770" ht="15.75" customHeight="1">
      <c r="E770" s="9"/>
      <c r="G770" s="10"/>
      <c r="H770" s="11"/>
    </row>
    <row r="771" ht="15.75" customHeight="1">
      <c r="E771" s="9"/>
      <c r="G771" s="10"/>
      <c r="H771" s="11"/>
    </row>
    <row r="772" ht="15.75" customHeight="1">
      <c r="E772" s="9"/>
      <c r="G772" s="10"/>
      <c r="H772" s="11"/>
    </row>
    <row r="773" ht="15.75" customHeight="1">
      <c r="E773" s="9"/>
      <c r="G773" s="10"/>
      <c r="H773" s="11"/>
    </row>
    <row r="774" ht="15.75" customHeight="1">
      <c r="E774" s="9"/>
      <c r="G774" s="10"/>
      <c r="H774" s="11"/>
    </row>
    <row r="775" ht="15.75" customHeight="1">
      <c r="E775" s="9"/>
      <c r="G775" s="10"/>
      <c r="H775" s="11"/>
    </row>
    <row r="776" ht="15.75" customHeight="1">
      <c r="E776" s="9"/>
      <c r="G776" s="10"/>
      <c r="H776" s="11"/>
    </row>
    <row r="777" ht="15.75" customHeight="1">
      <c r="E777" s="9"/>
      <c r="G777" s="10"/>
      <c r="H777" s="11"/>
    </row>
    <row r="778" ht="15.75" customHeight="1">
      <c r="E778" s="9"/>
      <c r="G778" s="10"/>
      <c r="H778" s="11"/>
    </row>
    <row r="779" ht="15.75" customHeight="1">
      <c r="E779" s="9"/>
      <c r="G779" s="10"/>
      <c r="H779" s="11"/>
    </row>
    <row r="780" ht="15.75" customHeight="1">
      <c r="E780" s="9"/>
      <c r="G780" s="10"/>
      <c r="H780" s="11"/>
    </row>
    <row r="781" ht="15.75" customHeight="1">
      <c r="E781" s="9"/>
      <c r="G781" s="10"/>
      <c r="H781" s="11"/>
    </row>
    <row r="782" ht="15.75" customHeight="1">
      <c r="E782" s="9"/>
      <c r="G782" s="10"/>
      <c r="H782" s="11"/>
    </row>
    <row r="783" ht="15.75" customHeight="1">
      <c r="E783" s="9"/>
      <c r="G783" s="10"/>
      <c r="H783" s="11"/>
    </row>
    <row r="784" ht="15.75" customHeight="1">
      <c r="E784" s="9"/>
      <c r="G784" s="10"/>
      <c r="H784" s="11"/>
    </row>
    <row r="785" ht="15.75" customHeight="1">
      <c r="E785" s="9"/>
      <c r="G785" s="10"/>
      <c r="H785" s="11"/>
    </row>
    <row r="786" ht="15.75" customHeight="1">
      <c r="E786" s="9"/>
      <c r="G786" s="10"/>
      <c r="H786" s="11"/>
    </row>
    <row r="787" ht="15.75" customHeight="1">
      <c r="E787" s="9"/>
      <c r="G787" s="10"/>
      <c r="H787" s="11"/>
    </row>
    <row r="788" ht="15.75" customHeight="1">
      <c r="E788" s="9"/>
      <c r="G788" s="10"/>
      <c r="H788" s="11"/>
    </row>
    <row r="789" ht="15.75" customHeight="1">
      <c r="E789" s="9"/>
      <c r="G789" s="10"/>
      <c r="H789" s="11"/>
    </row>
    <row r="790" ht="15.75" customHeight="1">
      <c r="E790" s="9"/>
      <c r="G790" s="10"/>
      <c r="H790" s="11"/>
    </row>
    <row r="791" ht="15.75" customHeight="1">
      <c r="E791" s="9"/>
      <c r="G791" s="10"/>
      <c r="H791" s="11"/>
    </row>
    <row r="792" ht="15.75" customHeight="1">
      <c r="E792" s="9"/>
      <c r="G792" s="10"/>
      <c r="H792" s="11"/>
    </row>
    <row r="793" ht="15.75" customHeight="1">
      <c r="E793" s="9"/>
      <c r="G793" s="10"/>
      <c r="H793" s="11"/>
    </row>
    <row r="794" ht="15.75" customHeight="1">
      <c r="E794" s="9"/>
      <c r="G794" s="10"/>
      <c r="H794" s="11"/>
    </row>
    <row r="795" ht="15.75" customHeight="1">
      <c r="E795" s="9"/>
      <c r="G795" s="10"/>
      <c r="H795" s="11"/>
    </row>
    <row r="796" ht="15.75" customHeight="1">
      <c r="E796" s="9"/>
      <c r="G796" s="10"/>
      <c r="H796" s="11"/>
    </row>
    <row r="797" ht="15.75" customHeight="1">
      <c r="E797" s="9"/>
      <c r="G797" s="10"/>
      <c r="H797" s="11"/>
    </row>
    <row r="798" ht="15.75" customHeight="1">
      <c r="E798" s="9"/>
      <c r="G798" s="10"/>
      <c r="H798" s="11"/>
    </row>
    <row r="799" ht="15.75" customHeight="1">
      <c r="E799" s="9"/>
      <c r="G799" s="10"/>
      <c r="H799" s="11"/>
    </row>
    <row r="800" ht="15.75" customHeight="1">
      <c r="E800" s="9"/>
      <c r="G800" s="10"/>
      <c r="H800" s="11"/>
    </row>
    <row r="801" ht="15.75" customHeight="1">
      <c r="E801" s="9"/>
      <c r="G801" s="10"/>
      <c r="H801" s="11"/>
    </row>
    <row r="802" ht="15.75" customHeight="1">
      <c r="E802" s="9"/>
      <c r="G802" s="10"/>
      <c r="H802" s="11"/>
    </row>
    <row r="803" ht="15.75" customHeight="1">
      <c r="E803" s="9"/>
      <c r="G803" s="10"/>
      <c r="H803" s="11"/>
    </row>
    <row r="804" ht="15.75" customHeight="1">
      <c r="E804" s="9"/>
      <c r="G804" s="10"/>
      <c r="H804" s="11"/>
    </row>
    <row r="805" ht="15.75" customHeight="1">
      <c r="E805" s="9"/>
      <c r="G805" s="10"/>
      <c r="H805" s="11"/>
    </row>
    <row r="806" ht="15.75" customHeight="1">
      <c r="E806" s="9"/>
      <c r="G806" s="10"/>
      <c r="H806" s="11"/>
    </row>
    <row r="807" ht="15.75" customHeight="1">
      <c r="E807" s="9"/>
      <c r="G807" s="10"/>
      <c r="H807" s="11"/>
    </row>
    <row r="808" ht="15.75" customHeight="1">
      <c r="E808" s="9"/>
      <c r="G808" s="10"/>
      <c r="H808" s="11"/>
    </row>
    <row r="809" ht="15.75" customHeight="1">
      <c r="E809" s="9"/>
      <c r="G809" s="10"/>
      <c r="H809" s="11"/>
    </row>
    <row r="810" ht="15.75" customHeight="1">
      <c r="E810" s="9"/>
      <c r="G810" s="10"/>
      <c r="H810" s="11"/>
    </row>
    <row r="811" ht="15.75" customHeight="1">
      <c r="E811" s="9"/>
      <c r="G811" s="10"/>
      <c r="H811" s="11"/>
    </row>
    <row r="812" ht="15.75" customHeight="1">
      <c r="E812" s="9"/>
      <c r="G812" s="10"/>
      <c r="H812" s="11"/>
    </row>
    <row r="813" ht="15.75" customHeight="1">
      <c r="E813" s="9"/>
      <c r="G813" s="10"/>
      <c r="H813" s="11"/>
    </row>
    <row r="814" ht="15.75" customHeight="1">
      <c r="E814" s="9"/>
      <c r="G814" s="10"/>
      <c r="H814" s="11"/>
    </row>
    <row r="815" ht="15.75" customHeight="1">
      <c r="E815" s="9"/>
      <c r="G815" s="10"/>
      <c r="H815" s="11"/>
    </row>
    <row r="816" ht="15.75" customHeight="1">
      <c r="E816" s="9"/>
      <c r="G816" s="10"/>
      <c r="H816" s="11"/>
    </row>
    <row r="817" ht="15.75" customHeight="1">
      <c r="E817" s="9"/>
      <c r="G817" s="10"/>
      <c r="H817" s="11"/>
    </row>
    <row r="818" ht="15.75" customHeight="1">
      <c r="E818" s="9"/>
      <c r="G818" s="10"/>
      <c r="H818" s="11"/>
    </row>
    <row r="819" ht="15.75" customHeight="1">
      <c r="E819" s="9"/>
      <c r="G819" s="10"/>
      <c r="H819" s="11"/>
    </row>
    <row r="820" ht="15.75" customHeight="1">
      <c r="E820" s="9"/>
      <c r="G820" s="10"/>
      <c r="H820" s="11"/>
    </row>
    <row r="821" ht="15.75" customHeight="1">
      <c r="E821" s="9"/>
      <c r="G821" s="10"/>
      <c r="H821" s="11"/>
    </row>
    <row r="822" ht="15.75" customHeight="1">
      <c r="E822" s="9"/>
      <c r="G822" s="10"/>
      <c r="H822" s="11"/>
    </row>
    <row r="823" ht="15.75" customHeight="1">
      <c r="E823" s="9"/>
      <c r="G823" s="10"/>
      <c r="H823" s="11"/>
    </row>
    <row r="824" ht="15.75" customHeight="1">
      <c r="E824" s="9"/>
      <c r="G824" s="10"/>
      <c r="H824" s="11"/>
    </row>
    <row r="825" ht="15.75" customHeight="1">
      <c r="E825" s="9"/>
      <c r="G825" s="10"/>
      <c r="H825" s="11"/>
    </row>
    <row r="826" ht="15.75" customHeight="1">
      <c r="E826" s="9"/>
      <c r="G826" s="10"/>
      <c r="H826" s="11"/>
    </row>
    <row r="827" ht="15.75" customHeight="1">
      <c r="E827" s="9"/>
      <c r="G827" s="10"/>
      <c r="H827" s="11"/>
    </row>
    <row r="828" ht="15.75" customHeight="1">
      <c r="E828" s="9"/>
      <c r="G828" s="10"/>
      <c r="H828" s="11"/>
    </row>
    <row r="829" ht="15.75" customHeight="1">
      <c r="E829" s="9"/>
      <c r="G829" s="10"/>
      <c r="H829" s="11"/>
    </row>
    <row r="830" ht="15.75" customHeight="1">
      <c r="E830" s="9"/>
      <c r="G830" s="10"/>
      <c r="H830" s="11"/>
    </row>
    <row r="831" ht="15.75" customHeight="1">
      <c r="E831" s="9"/>
      <c r="G831" s="10"/>
      <c r="H831" s="11"/>
    </row>
    <row r="832" ht="15.75" customHeight="1">
      <c r="E832" s="9"/>
      <c r="G832" s="10"/>
      <c r="H832" s="11"/>
    </row>
    <row r="833" ht="15.75" customHeight="1">
      <c r="E833" s="9"/>
      <c r="G833" s="10"/>
      <c r="H833" s="11"/>
    </row>
    <row r="834" ht="15.75" customHeight="1">
      <c r="E834" s="9"/>
      <c r="G834" s="10"/>
      <c r="H834" s="11"/>
    </row>
    <row r="835" ht="15.75" customHeight="1">
      <c r="E835" s="9"/>
      <c r="G835" s="10"/>
      <c r="H835" s="11"/>
    </row>
    <row r="836" ht="15.75" customHeight="1">
      <c r="E836" s="9"/>
      <c r="G836" s="10"/>
      <c r="H836" s="11"/>
    </row>
    <row r="837" ht="15.75" customHeight="1">
      <c r="E837" s="9"/>
      <c r="G837" s="10"/>
      <c r="H837" s="11"/>
    </row>
    <row r="838" ht="15.75" customHeight="1">
      <c r="E838" s="9"/>
      <c r="G838" s="10"/>
      <c r="H838" s="11"/>
    </row>
    <row r="839" ht="15.75" customHeight="1">
      <c r="E839" s="9"/>
      <c r="G839" s="10"/>
      <c r="H839" s="11"/>
    </row>
    <row r="840" ht="15.75" customHeight="1">
      <c r="E840" s="9"/>
      <c r="G840" s="10"/>
      <c r="H840" s="11"/>
    </row>
    <row r="841" ht="15.75" customHeight="1">
      <c r="E841" s="9"/>
      <c r="G841" s="10"/>
      <c r="H841" s="11"/>
    </row>
    <row r="842" ht="15.75" customHeight="1">
      <c r="E842" s="9"/>
      <c r="G842" s="10"/>
      <c r="H842" s="11"/>
    </row>
    <row r="843" ht="15.75" customHeight="1">
      <c r="E843" s="9"/>
      <c r="G843" s="10"/>
      <c r="H843" s="11"/>
    </row>
    <row r="844" ht="15.75" customHeight="1">
      <c r="E844" s="9"/>
      <c r="G844" s="10"/>
      <c r="H844" s="11"/>
    </row>
    <row r="845" ht="15.75" customHeight="1">
      <c r="E845" s="9"/>
      <c r="G845" s="10"/>
      <c r="H845" s="11"/>
    </row>
    <row r="846" ht="15.75" customHeight="1">
      <c r="E846" s="9"/>
      <c r="G846" s="10"/>
      <c r="H846" s="11"/>
    </row>
    <row r="847" ht="15.75" customHeight="1">
      <c r="E847" s="9"/>
      <c r="G847" s="10"/>
      <c r="H847" s="11"/>
    </row>
    <row r="848" ht="15.75" customHeight="1">
      <c r="E848" s="9"/>
      <c r="G848" s="10"/>
      <c r="H848" s="11"/>
    </row>
    <row r="849" ht="15.75" customHeight="1">
      <c r="E849" s="9"/>
      <c r="G849" s="10"/>
      <c r="H849" s="11"/>
    </row>
    <row r="850" ht="15.75" customHeight="1">
      <c r="E850" s="9"/>
      <c r="G850" s="10"/>
      <c r="H850" s="11"/>
    </row>
    <row r="851" ht="15.75" customHeight="1">
      <c r="E851" s="9"/>
      <c r="G851" s="10"/>
      <c r="H851" s="11"/>
    </row>
    <row r="852" ht="15.75" customHeight="1">
      <c r="E852" s="9"/>
      <c r="G852" s="10"/>
      <c r="H852" s="11"/>
    </row>
    <row r="853" ht="15.75" customHeight="1">
      <c r="E853" s="9"/>
      <c r="G853" s="10"/>
      <c r="H853" s="11"/>
    </row>
    <row r="854" ht="15.75" customHeight="1">
      <c r="E854" s="9"/>
      <c r="G854" s="10"/>
      <c r="H854" s="11"/>
    </row>
    <row r="855" ht="15.75" customHeight="1">
      <c r="E855" s="9"/>
      <c r="G855" s="10"/>
      <c r="H855" s="11"/>
    </row>
    <row r="856" ht="15.75" customHeight="1">
      <c r="E856" s="9"/>
      <c r="G856" s="10"/>
      <c r="H856" s="11"/>
    </row>
    <row r="857" ht="15.75" customHeight="1">
      <c r="E857" s="9"/>
      <c r="G857" s="10"/>
      <c r="H857" s="11"/>
    </row>
    <row r="858" ht="15.75" customHeight="1">
      <c r="E858" s="9"/>
      <c r="G858" s="10"/>
      <c r="H858" s="11"/>
    </row>
    <row r="859" ht="15.75" customHeight="1">
      <c r="E859" s="9"/>
      <c r="G859" s="10"/>
      <c r="H859" s="11"/>
    </row>
    <row r="860" ht="15.75" customHeight="1">
      <c r="E860" s="9"/>
      <c r="G860" s="10"/>
      <c r="H860" s="11"/>
    </row>
    <row r="861" ht="15.75" customHeight="1">
      <c r="E861" s="9"/>
      <c r="G861" s="10"/>
      <c r="H861" s="11"/>
    </row>
    <row r="862" ht="15.75" customHeight="1">
      <c r="E862" s="9"/>
      <c r="G862" s="10"/>
      <c r="H862" s="11"/>
    </row>
    <row r="863" ht="15.75" customHeight="1">
      <c r="E863" s="9"/>
      <c r="G863" s="10"/>
      <c r="H863" s="11"/>
    </row>
    <row r="864" ht="15.75" customHeight="1">
      <c r="E864" s="9"/>
      <c r="G864" s="10"/>
      <c r="H864" s="11"/>
    </row>
    <row r="865" ht="15.75" customHeight="1">
      <c r="E865" s="9"/>
      <c r="G865" s="10"/>
      <c r="H865" s="11"/>
    </row>
    <row r="866" ht="15.75" customHeight="1">
      <c r="E866" s="9"/>
      <c r="G866" s="10"/>
      <c r="H866" s="11"/>
    </row>
    <row r="867" ht="15.75" customHeight="1">
      <c r="E867" s="9"/>
      <c r="G867" s="10"/>
      <c r="H867" s="11"/>
    </row>
    <row r="868" ht="15.75" customHeight="1">
      <c r="E868" s="9"/>
      <c r="G868" s="10"/>
      <c r="H868" s="11"/>
    </row>
    <row r="869" ht="15.75" customHeight="1">
      <c r="E869" s="9"/>
      <c r="G869" s="10"/>
      <c r="H869" s="11"/>
    </row>
    <row r="870" ht="15.75" customHeight="1">
      <c r="E870" s="9"/>
      <c r="G870" s="10"/>
      <c r="H870" s="11"/>
    </row>
    <row r="871" ht="15.75" customHeight="1">
      <c r="E871" s="9"/>
      <c r="G871" s="10"/>
      <c r="H871" s="11"/>
    </row>
    <row r="872" ht="15.75" customHeight="1">
      <c r="E872" s="9"/>
      <c r="G872" s="10"/>
      <c r="H872" s="11"/>
    </row>
    <row r="873" ht="15.75" customHeight="1">
      <c r="E873" s="9"/>
      <c r="G873" s="10"/>
      <c r="H873" s="11"/>
    </row>
    <row r="874" ht="15.75" customHeight="1">
      <c r="E874" s="9"/>
      <c r="G874" s="10"/>
      <c r="H874" s="11"/>
    </row>
    <row r="875" ht="15.75" customHeight="1">
      <c r="E875" s="9"/>
      <c r="G875" s="10"/>
      <c r="H875" s="11"/>
    </row>
    <row r="876" ht="15.75" customHeight="1">
      <c r="E876" s="9"/>
      <c r="G876" s="10"/>
      <c r="H876" s="11"/>
    </row>
    <row r="877" ht="15.75" customHeight="1">
      <c r="E877" s="9"/>
      <c r="G877" s="10"/>
      <c r="H877" s="11"/>
    </row>
    <row r="878" ht="15.75" customHeight="1">
      <c r="E878" s="9"/>
      <c r="G878" s="10"/>
      <c r="H878" s="11"/>
    </row>
    <row r="879" ht="15.75" customHeight="1">
      <c r="E879" s="9"/>
      <c r="G879" s="10"/>
      <c r="H879" s="11"/>
    </row>
    <row r="880" ht="15.75" customHeight="1">
      <c r="E880" s="9"/>
      <c r="G880" s="10"/>
      <c r="H880" s="11"/>
    </row>
    <row r="881" ht="15.75" customHeight="1">
      <c r="E881" s="9"/>
      <c r="G881" s="10"/>
      <c r="H881" s="11"/>
    </row>
    <row r="882" ht="15.75" customHeight="1">
      <c r="E882" s="9"/>
      <c r="G882" s="10"/>
      <c r="H882" s="11"/>
    </row>
    <row r="883" ht="15.75" customHeight="1">
      <c r="E883" s="9"/>
      <c r="G883" s="10"/>
      <c r="H883" s="11"/>
    </row>
    <row r="884" ht="15.75" customHeight="1">
      <c r="E884" s="9"/>
      <c r="G884" s="10"/>
      <c r="H884" s="11"/>
    </row>
    <row r="885" ht="15.75" customHeight="1">
      <c r="E885" s="9"/>
      <c r="G885" s="10"/>
      <c r="H885" s="11"/>
    </row>
    <row r="886" ht="15.75" customHeight="1">
      <c r="E886" s="9"/>
      <c r="G886" s="10"/>
      <c r="H886" s="11"/>
    </row>
    <row r="887" ht="15.75" customHeight="1">
      <c r="E887" s="9"/>
      <c r="G887" s="10"/>
      <c r="H887" s="11"/>
    </row>
    <row r="888" ht="15.75" customHeight="1">
      <c r="E888" s="9"/>
      <c r="G888" s="10"/>
      <c r="H888" s="11"/>
    </row>
    <row r="889" ht="15.75" customHeight="1">
      <c r="E889" s="9"/>
      <c r="G889" s="10"/>
      <c r="H889" s="11"/>
    </row>
    <row r="890" ht="15.75" customHeight="1">
      <c r="E890" s="9"/>
      <c r="G890" s="10"/>
      <c r="H890" s="11"/>
    </row>
    <row r="891" ht="15.75" customHeight="1">
      <c r="E891" s="9"/>
      <c r="G891" s="10"/>
      <c r="H891" s="11"/>
    </row>
    <row r="892" ht="15.75" customHeight="1">
      <c r="E892" s="9"/>
      <c r="G892" s="10"/>
      <c r="H892" s="11"/>
    </row>
    <row r="893" ht="15.75" customHeight="1">
      <c r="E893" s="9"/>
      <c r="G893" s="10"/>
      <c r="H893" s="11"/>
    </row>
    <row r="894" ht="15.75" customHeight="1">
      <c r="E894" s="9"/>
      <c r="G894" s="10"/>
      <c r="H894" s="11"/>
    </row>
    <row r="895" ht="15.75" customHeight="1">
      <c r="E895" s="9"/>
      <c r="G895" s="10"/>
      <c r="H895" s="11"/>
    </row>
    <row r="896" ht="15.75" customHeight="1">
      <c r="E896" s="9"/>
      <c r="G896" s="10"/>
      <c r="H896" s="11"/>
    </row>
    <row r="897" ht="15.75" customHeight="1">
      <c r="E897" s="9"/>
      <c r="G897" s="10"/>
      <c r="H897" s="11"/>
    </row>
    <row r="898" ht="15.75" customHeight="1">
      <c r="E898" s="9"/>
      <c r="G898" s="10"/>
      <c r="H898" s="11"/>
    </row>
    <row r="899" ht="15.75" customHeight="1">
      <c r="E899" s="9"/>
      <c r="G899" s="10"/>
      <c r="H899" s="11"/>
    </row>
    <row r="900" ht="15.75" customHeight="1">
      <c r="E900" s="9"/>
      <c r="G900" s="10"/>
      <c r="H900" s="11"/>
    </row>
    <row r="901" ht="15.75" customHeight="1">
      <c r="E901" s="9"/>
      <c r="G901" s="10"/>
      <c r="H901" s="11"/>
    </row>
    <row r="902" ht="15.75" customHeight="1">
      <c r="E902" s="9"/>
      <c r="G902" s="10"/>
      <c r="H902" s="11"/>
    </row>
    <row r="903" ht="15.75" customHeight="1">
      <c r="E903" s="9"/>
      <c r="G903" s="10"/>
      <c r="H903" s="11"/>
    </row>
    <row r="904" ht="15.75" customHeight="1">
      <c r="E904" s="9"/>
      <c r="G904" s="10"/>
      <c r="H904" s="11"/>
    </row>
    <row r="905" ht="15.75" customHeight="1">
      <c r="E905" s="9"/>
      <c r="G905" s="10"/>
      <c r="H905" s="11"/>
    </row>
    <row r="906" ht="15.75" customHeight="1">
      <c r="E906" s="9"/>
      <c r="G906" s="10"/>
      <c r="H906" s="11"/>
    </row>
    <row r="907" ht="15.75" customHeight="1">
      <c r="E907" s="9"/>
      <c r="G907" s="10"/>
      <c r="H907" s="11"/>
    </row>
    <row r="908" ht="15.75" customHeight="1">
      <c r="E908" s="9"/>
      <c r="G908" s="10"/>
      <c r="H908" s="11"/>
    </row>
    <row r="909" ht="15.75" customHeight="1">
      <c r="E909" s="9"/>
      <c r="G909" s="10"/>
      <c r="H909" s="11"/>
    </row>
    <row r="910" ht="15.75" customHeight="1">
      <c r="E910" s="9"/>
      <c r="G910" s="10"/>
      <c r="H910" s="11"/>
    </row>
    <row r="911" ht="15.75" customHeight="1">
      <c r="E911" s="9"/>
      <c r="G911" s="10"/>
      <c r="H911" s="11"/>
    </row>
    <row r="912" ht="15.75" customHeight="1">
      <c r="E912" s="9"/>
      <c r="G912" s="10"/>
      <c r="H912" s="11"/>
    </row>
    <row r="913" ht="15.75" customHeight="1">
      <c r="E913" s="9"/>
      <c r="G913" s="10"/>
      <c r="H913" s="11"/>
    </row>
    <row r="914" ht="15.75" customHeight="1">
      <c r="E914" s="9"/>
      <c r="G914" s="10"/>
      <c r="H914" s="11"/>
    </row>
    <row r="915" ht="15.75" customHeight="1">
      <c r="E915" s="9"/>
      <c r="G915" s="10"/>
      <c r="H915" s="11"/>
    </row>
    <row r="916" ht="15.75" customHeight="1">
      <c r="E916" s="9"/>
      <c r="G916" s="10"/>
      <c r="H916" s="11"/>
    </row>
    <row r="917" ht="15.75" customHeight="1">
      <c r="E917" s="9"/>
      <c r="G917" s="10"/>
      <c r="H917" s="11"/>
    </row>
    <row r="918" ht="15.75" customHeight="1">
      <c r="E918" s="9"/>
      <c r="G918" s="10"/>
      <c r="H918" s="11"/>
    </row>
    <row r="919" ht="15.75" customHeight="1">
      <c r="E919" s="9"/>
      <c r="G919" s="10"/>
      <c r="H919" s="11"/>
    </row>
    <row r="920" ht="15.75" customHeight="1">
      <c r="E920" s="9"/>
      <c r="G920" s="10"/>
      <c r="H920" s="11"/>
    </row>
    <row r="921" ht="15.75" customHeight="1">
      <c r="E921" s="9"/>
      <c r="G921" s="10"/>
      <c r="H921" s="11"/>
    </row>
    <row r="922" ht="15.75" customHeight="1">
      <c r="E922" s="9"/>
      <c r="G922" s="10"/>
      <c r="H922" s="11"/>
    </row>
    <row r="923" ht="15.75" customHeight="1">
      <c r="E923" s="9"/>
      <c r="G923" s="10"/>
      <c r="H923" s="11"/>
    </row>
    <row r="924" ht="15.75" customHeight="1">
      <c r="E924" s="9"/>
      <c r="G924" s="10"/>
      <c r="H924" s="11"/>
    </row>
    <row r="925" ht="15.75" customHeight="1">
      <c r="E925" s="9"/>
      <c r="G925" s="10"/>
      <c r="H925" s="11"/>
    </row>
    <row r="926" ht="15.75" customHeight="1">
      <c r="E926" s="9"/>
      <c r="G926" s="10"/>
      <c r="H926" s="11"/>
    </row>
    <row r="927" ht="15.75" customHeight="1">
      <c r="E927" s="9"/>
      <c r="G927" s="10"/>
      <c r="H927" s="11"/>
    </row>
    <row r="928" ht="15.75" customHeight="1">
      <c r="E928" s="9"/>
      <c r="G928" s="10"/>
      <c r="H928" s="11"/>
    </row>
    <row r="929" ht="15.75" customHeight="1">
      <c r="E929" s="9"/>
      <c r="G929" s="10"/>
      <c r="H929" s="11"/>
    </row>
    <row r="930" ht="15.75" customHeight="1">
      <c r="E930" s="9"/>
      <c r="G930" s="10"/>
      <c r="H930" s="11"/>
    </row>
    <row r="931" ht="15.75" customHeight="1">
      <c r="E931" s="9"/>
      <c r="G931" s="10"/>
      <c r="H931" s="11"/>
    </row>
    <row r="932" ht="15.75" customHeight="1">
      <c r="E932" s="9"/>
      <c r="G932" s="10"/>
      <c r="H932" s="11"/>
    </row>
    <row r="933" ht="15.75" customHeight="1">
      <c r="E933" s="9"/>
      <c r="G933" s="10"/>
      <c r="H933" s="11"/>
    </row>
    <row r="934" ht="15.75" customHeight="1">
      <c r="E934" s="9"/>
      <c r="G934" s="10"/>
      <c r="H934" s="11"/>
    </row>
    <row r="935" ht="15.75" customHeight="1">
      <c r="E935" s="9"/>
      <c r="G935" s="10"/>
      <c r="H935" s="11"/>
    </row>
    <row r="936" ht="15.75" customHeight="1">
      <c r="E936" s="9"/>
      <c r="G936" s="10"/>
      <c r="H936" s="11"/>
    </row>
    <row r="937" ht="15.75" customHeight="1">
      <c r="E937" s="9"/>
      <c r="G937" s="10"/>
      <c r="H937" s="11"/>
    </row>
    <row r="938" ht="15.75" customHeight="1">
      <c r="E938" s="9"/>
      <c r="G938" s="10"/>
      <c r="H938" s="11"/>
    </row>
    <row r="939" ht="15.75" customHeight="1">
      <c r="E939" s="9"/>
      <c r="G939" s="10"/>
      <c r="H939" s="11"/>
    </row>
    <row r="940" ht="15.75" customHeight="1">
      <c r="E940" s="9"/>
      <c r="G940" s="10"/>
      <c r="H940" s="11"/>
    </row>
    <row r="941" ht="15.75" customHeight="1">
      <c r="E941" s="9"/>
      <c r="G941" s="10"/>
      <c r="H941" s="11"/>
    </row>
    <row r="942" ht="15.75" customHeight="1">
      <c r="E942" s="9"/>
      <c r="G942" s="10"/>
      <c r="H942" s="11"/>
    </row>
    <row r="943" ht="15.75" customHeight="1">
      <c r="E943" s="9"/>
      <c r="G943" s="10"/>
      <c r="H943" s="11"/>
    </row>
    <row r="944" ht="15.75" customHeight="1">
      <c r="E944" s="9"/>
      <c r="G944" s="10"/>
      <c r="H944" s="11"/>
    </row>
    <row r="945" ht="15.75" customHeight="1">
      <c r="E945" s="9"/>
      <c r="G945" s="10"/>
      <c r="H945" s="11"/>
    </row>
    <row r="946" ht="15.75" customHeight="1">
      <c r="E946" s="9"/>
      <c r="G946" s="10"/>
      <c r="H946" s="11"/>
    </row>
    <row r="947" ht="15.75" customHeight="1">
      <c r="E947" s="9"/>
      <c r="G947" s="10"/>
      <c r="H947" s="11"/>
    </row>
    <row r="948" ht="15.75" customHeight="1">
      <c r="E948" s="9"/>
      <c r="G948" s="10"/>
      <c r="H948" s="11"/>
    </row>
    <row r="949" ht="15.75" customHeight="1">
      <c r="E949" s="9"/>
      <c r="G949" s="10"/>
      <c r="H949" s="11"/>
    </row>
    <row r="950" ht="15.75" customHeight="1">
      <c r="E950" s="9"/>
      <c r="G950" s="10"/>
      <c r="H950" s="11"/>
    </row>
    <row r="951" ht="15.75" customHeight="1">
      <c r="E951" s="9"/>
      <c r="G951" s="10"/>
      <c r="H951" s="11"/>
    </row>
    <row r="952" ht="15.75" customHeight="1">
      <c r="E952" s="9"/>
      <c r="G952" s="10"/>
      <c r="H952" s="11"/>
    </row>
    <row r="953" ht="15.75" customHeight="1">
      <c r="E953" s="9"/>
      <c r="G953" s="10"/>
      <c r="H953" s="11"/>
    </row>
    <row r="954" ht="15.75" customHeight="1">
      <c r="E954" s="9"/>
      <c r="G954" s="10"/>
      <c r="H954" s="11"/>
    </row>
    <row r="955" ht="15.75" customHeight="1">
      <c r="E955" s="9"/>
      <c r="G955" s="10"/>
      <c r="H955" s="11"/>
    </row>
    <row r="956" ht="15.75" customHeight="1">
      <c r="E956" s="9"/>
      <c r="G956" s="10"/>
      <c r="H956" s="11"/>
    </row>
    <row r="957" ht="15.75" customHeight="1">
      <c r="E957" s="9"/>
      <c r="G957" s="10"/>
      <c r="H957" s="11"/>
    </row>
    <row r="958" ht="15.75" customHeight="1">
      <c r="E958" s="9"/>
      <c r="G958" s="10"/>
      <c r="H958" s="11"/>
    </row>
    <row r="959" ht="15.75" customHeight="1">
      <c r="E959" s="9"/>
      <c r="G959" s="10"/>
      <c r="H959" s="11"/>
    </row>
    <row r="960" ht="15.75" customHeight="1">
      <c r="E960" s="9"/>
      <c r="G960" s="10"/>
      <c r="H960" s="11"/>
    </row>
    <row r="961" ht="15.75" customHeight="1">
      <c r="E961" s="9"/>
      <c r="G961" s="10"/>
      <c r="H961" s="11"/>
    </row>
    <row r="962" ht="15.75" customHeight="1">
      <c r="E962" s="9"/>
      <c r="G962" s="10"/>
      <c r="H962" s="11"/>
    </row>
    <row r="963" ht="15.75" customHeight="1">
      <c r="E963" s="9"/>
      <c r="G963" s="10"/>
      <c r="H963" s="11"/>
    </row>
    <row r="964" ht="15.75" customHeight="1">
      <c r="E964" s="9"/>
      <c r="G964" s="10"/>
      <c r="H964" s="11"/>
    </row>
    <row r="965" ht="15.75" customHeight="1">
      <c r="E965" s="9"/>
      <c r="G965" s="10"/>
      <c r="H965" s="11"/>
    </row>
    <row r="966" ht="15.75" customHeight="1">
      <c r="E966" s="9"/>
      <c r="G966" s="10"/>
      <c r="H966" s="11"/>
    </row>
    <row r="967" ht="15.75" customHeight="1">
      <c r="E967" s="9"/>
      <c r="G967" s="10"/>
      <c r="H967" s="11"/>
    </row>
    <row r="968" ht="15.75" customHeight="1">
      <c r="E968" s="9"/>
      <c r="G968" s="10"/>
      <c r="H968" s="11"/>
    </row>
    <row r="969" ht="15.75" customHeight="1">
      <c r="E969" s="9"/>
      <c r="G969" s="10"/>
      <c r="H969" s="11"/>
    </row>
    <row r="970" ht="15.75" customHeight="1">
      <c r="E970" s="9"/>
      <c r="G970" s="10"/>
      <c r="H970" s="11"/>
    </row>
    <row r="971" ht="15.75" customHeight="1">
      <c r="E971" s="9"/>
      <c r="G971" s="10"/>
      <c r="H971" s="11"/>
    </row>
    <row r="972" ht="15.75" customHeight="1">
      <c r="E972" s="9"/>
      <c r="G972" s="10"/>
      <c r="H972" s="11"/>
    </row>
    <row r="973" ht="15.75" customHeight="1">
      <c r="E973" s="9"/>
      <c r="G973" s="10"/>
      <c r="H973" s="11"/>
    </row>
    <row r="974" ht="15.75" customHeight="1">
      <c r="E974" s="9"/>
      <c r="G974" s="10"/>
      <c r="H974" s="11"/>
    </row>
    <row r="975" ht="15.75" customHeight="1">
      <c r="E975" s="9"/>
      <c r="G975" s="10"/>
      <c r="H975" s="11"/>
    </row>
    <row r="976" ht="15.75" customHeight="1">
      <c r="E976" s="9"/>
      <c r="G976" s="10"/>
      <c r="H976" s="11"/>
    </row>
    <row r="977" ht="15.75" customHeight="1">
      <c r="E977" s="9"/>
      <c r="G977" s="10"/>
      <c r="H977" s="11"/>
    </row>
    <row r="978" ht="15.75" customHeight="1">
      <c r="E978" s="9"/>
      <c r="G978" s="10"/>
      <c r="H978" s="11"/>
    </row>
    <row r="979" ht="15.75" customHeight="1">
      <c r="E979" s="9"/>
      <c r="G979" s="10"/>
      <c r="H979" s="11"/>
    </row>
    <row r="980" ht="15.75" customHeight="1">
      <c r="E980" s="9"/>
      <c r="G980" s="10"/>
      <c r="H980" s="11"/>
    </row>
    <row r="981" ht="15.75" customHeight="1">
      <c r="E981" s="9"/>
      <c r="G981" s="10"/>
      <c r="H981" s="11"/>
    </row>
    <row r="982" ht="15.75" customHeight="1">
      <c r="E982" s="9"/>
      <c r="G982" s="10"/>
      <c r="H982" s="11"/>
    </row>
    <row r="983" ht="15.75" customHeight="1">
      <c r="E983" s="9"/>
      <c r="G983" s="10"/>
      <c r="H983" s="11"/>
    </row>
    <row r="984" ht="15.75" customHeight="1">
      <c r="E984" s="9"/>
      <c r="G984" s="10"/>
      <c r="H984" s="11"/>
    </row>
    <row r="985" ht="15.75" customHeight="1">
      <c r="E985" s="9"/>
      <c r="G985" s="10"/>
      <c r="H985" s="11"/>
    </row>
    <row r="986" ht="15.75" customHeight="1">
      <c r="E986" s="9"/>
      <c r="G986" s="10"/>
      <c r="H986" s="11"/>
    </row>
    <row r="987" ht="15.75" customHeight="1">
      <c r="E987" s="9"/>
      <c r="G987" s="10"/>
      <c r="H987" s="11"/>
    </row>
    <row r="988" ht="15.75" customHeight="1">
      <c r="E988" s="9"/>
      <c r="G988" s="10"/>
      <c r="H988" s="11"/>
    </row>
    <row r="989" ht="15.75" customHeight="1">
      <c r="E989" s="9"/>
      <c r="G989" s="10"/>
      <c r="H989" s="11"/>
    </row>
    <row r="990" ht="15.75" customHeight="1">
      <c r="E990" s="9"/>
      <c r="G990" s="10"/>
      <c r="H990" s="11"/>
    </row>
    <row r="991" ht="15.75" customHeight="1">
      <c r="E991" s="9"/>
      <c r="G991" s="10"/>
      <c r="H991" s="11"/>
    </row>
    <row r="992" ht="15.75" customHeight="1">
      <c r="E992" s="9"/>
      <c r="G992" s="10"/>
      <c r="H992" s="11"/>
    </row>
    <row r="993" ht="15.75" customHeight="1">
      <c r="E993" s="9"/>
      <c r="G993" s="10"/>
      <c r="H993" s="11"/>
    </row>
    <row r="994" ht="15.75" customHeight="1">
      <c r="E994" s="9"/>
      <c r="G994" s="10"/>
      <c r="H994" s="11"/>
    </row>
    <row r="995" ht="15.75" customHeight="1">
      <c r="E995" s="9"/>
      <c r="G995" s="10"/>
      <c r="H995" s="11"/>
    </row>
    <row r="996" ht="15.75" customHeight="1">
      <c r="E996" s="9"/>
      <c r="G996" s="10"/>
      <c r="H996" s="11"/>
    </row>
    <row r="997" ht="15.75" customHeight="1">
      <c r="E997" s="9"/>
      <c r="G997" s="10"/>
      <c r="H997" s="11"/>
    </row>
    <row r="998" ht="15.75" customHeight="1">
      <c r="E998" s="9"/>
      <c r="G998" s="10"/>
      <c r="H998" s="11"/>
    </row>
    <row r="999" ht="15.75" customHeight="1">
      <c r="E999" s="9"/>
      <c r="G999" s="10"/>
      <c r="H999" s="11"/>
    </row>
    <row r="1000" ht="15.75" customHeight="1">
      <c r="E1000" s="9"/>
      <c r="G1000" s="10"/>
      <c r="H1000" s="11"/>
    </row>
  </sheetData>
  <mergeCells count="1">
    <mergeCell ref="A1:J1"/>
  </mergeCells>
  <printOptions/>
  <pageMargins bottom="0.787401575" footer="0.0" header="0.0" left="0.7" right="0.7" top="0.7874015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2025-07-24T05:03:58Z</dcterms:created>
  <dc:creator>Rebecca Rumpenhorst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0x010100CE77C5DF6A7BF84B8A8393A54959973A</vt:lpwstr>
  </property>
  <property fmtid="{D5CDD505-2E9C-101B-9397-08002B2CF9AE}" pid="3" name="MediaServiceImageTags">
    <vt:lpwstr/>
  </property>
</Properties>
</file>